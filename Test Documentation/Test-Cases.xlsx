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troduction" sheetId="1" state="visible" r:id="rId3"/>
    <sheet name="Test Cases"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<sst xmlns="http://schemas.openxmlformats.org/spreadsheetml/2006/main" count="1952" uniqueCount="863">
  <si>
    <t xml:space="preserve">Introduction</t>
  </si>
  <si>
    <t xml:space="preserve">Project:</t>
  </si>
  <si>
    <t xml:space="preserve">Trello REST API Testing</t>
  </si>
  <si>
    <t xml:space="preserve">Document:</t>
  </si>
  <si>
    <t xml:space="preserve">Test Cases</t>
  </si>
  <si>
    <t xml:space="preserve">Prepared By:</t>
  </si>
  <si>
    <t xml:space="preserve">Kareem Walid – QA / Software Tester Engineer</t>
  </si>
  <si>
    <t xml:space="preserve">Tool Used:</t>
  </si>
  <si>
    <t xml:space="preserve">Postman (Collection Runner)</t>
  </si>
  <si>
    <t xml:space="preserve">Purpose:</t>
  </si>
  <si>
    <t xml:space="preserve">This sheet lists every functional test case executed against the Trello REST API, covering Boards, Lists, Cards, Checklists, Labels, and Organizations. Each row records the steps, test data, expected result, and actual outcome for one test case. See the Test Plan document for full scope and strategy.</t>
  </si>
  <si>
    <t xml:space="preserve">Test Case ID </t>
  </si>
  <si>
    <t xml:space="preserve">Scenario ID</t>
  </si>
  <si>
    <t xml:space="preserve">Resource</t>
  </si>
  <si>
    <t xml:space="preserve">Endpoint</t>
  </si>
  <si>
    <t xml:space="preserve">Test Case</t>
  </si>
  <si>
    <t xml:space="preserve">Category / Type</t>
  </si>
  <si>
    <t xml:space="preserve">Priority</t>
  </si>
  <si>
    <t xml:space="preserve">Preconditions</t>
  </si>
  <si>
    <t xml:space="preserve">Steps</t>
  </si>
  <si>
    <t xml:space="preserve">Test Data</t>
  </si>
  <si>
    <t xml:space="preserve">Request Headers</t>
  </si>
  <si>
    <t xml:space="preserve">Request Body</t>
  </si>
  <si>
    <t xml:space="preserve">Expected Status Code</t>
  </si>
  <si>
    <t xml:space="preserve">Expected Result</t>
  </si>
  <si>
    <t xml:space="preserve">Actual Result</t>
  </si>
  <si>
    <t xml:space="preserve">Status</t>
  </si>
  <si>
    <t xml:space="preserve">Defect ID</t>
  </si>
  <si>
    <t xml:space="preserve">Notes</t>
  </si>
  <si>
    <t xml:space="preserve">TC-001</t>
  </si>
  <si>
    <t xml:space="preserve">TS-001</t>
  </si>
  <si>
    <t xml:space="preserve">Board</t>
  </si>
  <si>
    <t xml:space="preserve">POST /boards</t>
  </si>
  <si>
    <t xml:space="preserve">Create a board with valid data</t>
  </si>
  <si>
    <t xml:space="preserve">Functional / Smoke / Positive</t>
  </si>
  <si>
    <t xml:space="preserve">High</t>
  </si>
  <si>
    <t xml:space="preserve">1. User has a valid API Key and a valid Token
2. User has all required board fields ready (e.g., name)</t>
  </si>
  <si>
    <t xml:space="preserve">1. Send POST request to https://api.trello.com/1/boards
2. Add query params: key={{key}}, token={{token}}, name=&lt;valid board name&gt;
3. Send the request
4. Check the Status Code and the response body</t>
  </si>
  <si>
    <t xml:space="preserve">key={{key}}
token={{token}}
name=QA Test Board</t>
  </si>
  <si>
    <t xml:space="preserve">None – auth via query params (key, token); Accept: application/json optional</t>
  </si>
  <si>
    <t xml:space="preserve">None – parameters sent via query string</t>
  </si>
  <si>
    <t xml:space="preserve">Board is created successfully; response contains the new board's id, name, and default fields.</t>
  </si>
  <si>
    <t xml:space="preserve">As Expected</t>
  </si>
  <si>
    <t xml:space="preserve">Passed</t>
  </si>
  <si>
    <t xml:space="preserve">TC-002</t>
  </si>
  <si>
    <t xml:space="preserve">TS-002</t>
  </si>
  <si>
    <t xml:space="preserve">Create a board with empty name</t>
  </si>
  <si>
    <t xml:space="preserve">Validation / Negative</t>
  </si>
  <si>
    <t xml:space="preserve">1. User has a valid API Key and a valid Token
2. name field will be sent as an empty string</t>
  </si>
  <si>
    <t xml:space="preserve">1. Send POST request to https://api.trello.com/1/boards
2. Add query params: key={{key}}, token={{token}}, name=(empty string)
3. Send the request
4. Check the Status Code and the response body/error message</t>
  </si>
  <si>
    <t xml:space="preserve">key={{key}}
token={{token}}
name=</t>
  </si>
  <si>
    <t xml:space="preserve">Request is rejected; response indicates the required field cannot be empty.</t>
  </si>
  <si>
    <t xml:space="preserve">TC-003</t>
  </si>
  <si>
    <t xml:space="preserve">Create a board with "desc" more than 16384 characters</t>
  </si>
  <si>
    <t xml:space="preserve">1. User has a valid API Key and a valid Token
2. desc value prepared exceeding the maximum allowed length (16384 characters)</t>
  </si>
  <si>
    <t xml:space="preserve">1. Send POST request to https://api.trello.com/1/boards 2. Add query params: key={{key}}, token={{token}}, name=QA Test Board 3. Set Body to x-www-form-urlencoded, add key "desc" with value exceeding max character limit (e.g. 16000+ chars) 4. Send the request 5. Check the Status Code and the response body/error message</t>
  </si>
  <si>
    <t xml:space="preserve">key={{key}}
token={{token}}
name=QA Test Board
</t>
  </si>
  <si>
    <t xml:space="preserve">Content-Type: application/x-www-form-urlencoded (auto-added by Postman); Accept: application/json optional</t>
  </si>
  <si>
    <t xml:space="preserve">Query Params: key={{key}}, token={{token}}, name=QA Test Board Body (x-www-form-urlencoded): desc=&lt;string exceeding max length&gt;</t>
  </si>
  <si>
    <t xml:space="preserve">Request is rejected; response indicates the description exceeds the maximum allowed length (16384 characters).</t>
  </si>
  <si>
    <t xml:space="preserve">Initial attempt sent desc via query string, resulting in 414 (CDN-level rejection) instead of 400 (application-level validation). Corrected by moving desc to request body (x-www-form-urlencoded).</t>
  </si>
  <si>
    <t xml:space="preserve">TC-004</t>
  </si>
  <si>
    <t xml:space="preserve">Create a board with invalid defaultLabels data type</t>
  </si>
  <si>
    <t xml:space="preserve">1. User has a valid API Key and a valid Token
2. defaultLabels value prepared with an invalid data type (e.g., string instead of boolean)</t>
  </si>
  <si>
    <t xml:space="preserve">1. Send POST request to https://api.trello.com/1/boards
2. Add query params: key={{key}}, token={{token}}, name=&lt;valid name&gt;, defaultLabels=&lt;invalid type value, e.g. "abc"&gt;
3. Send the request
4. Check the Status Code and the response body/error message</t>
  </si>
  <si>
    <t xml:space="preserve">key={{key}}
token={{token}}
name=QA Test Board
defaultLabels=25d</t>
  </si>
  <si>
    <t xml:space="preserve">Request is rejected; response indicates defaultLabels must be a boolean.</t>
  </si>
  <si>
    <t xml:space="preserve">Initial script assumed JSON response (pm.response.json()), which failed because Trello returned this error as plain text, not JSON. Corrected by using pm.response.text() to check for the error keyword instead.</t>
  </si>
  <si>
    <t xml:space="preserve">TC-005</t>
  </si>
  <si>
    <t xml:space="preserve">TS-003</t>
  </si>
  <si>
    <t xml:space="preserve">Create a board without Token</t>
  </si>
  <si>
    <t xml:space="preserve">Authorization / Negative</t>
  </si>
  <si>
    <t xml:space="preserve">1. Request will be sent with no Token field included</t>
  </si>
  <si>
    <t xml:space="preserve">1. Send POST request to https://api.trello.com/1/boards
2. Add query params: key={{key}}, name=&lt;valid name&gt; (do NOT add token param at all)
3. Send the request
4. Check the Status Code (expect 401) and the response body/error message</t>
  </si>
  <si>
    <t xml:space="preserve">key={{key}}
name=QA Test Board
(token param omitted)</t>
  </si>
  <si>
    <t xml:space="preserve">Request is rejected; response indicates unauthorized (missing scopes).</t>
  </si>
  <si>
    <t xml:space="preserve">TC-006</t>
  </si>
  <si>
    <t xml:space="preserve">Create a board with empty Token</t>
  </si>
  <si>
    <t xml:space="preserve">1. Request will be sent with Token as an empty string</t>
  </si>
  <si>
    <t xml:space="preserve">1. Send POST request to https://api.trello.com/1/boards
2. Add query params: key={{key}}, token= (empty string), name=&lt;valid name&gt;
3. Send the request
4. Check the Status Code (expect 401) and the response body/error message</t>
  </si>
  <si>
    <t xml:space="preserve">key={{key}}
token=
name=QA Test Board</t>
  </si>
  <si>
    <t xml:space="preserve">TC-007</t>
  </si>
  <si>
    <t xml:space="preserve">Create a board with Invalid Token</t>
  </si>
  <si>
    <t xml:space="preserve">1. User has a malformed, expired, or revoked Token</t>
  </si>
  <si>
    <t xml:space="preserve">1. Send POST request to https://api.trello.com/1/boards
2. Add query params: key={{key}}, token=&lt;malformed/invalid string&gt;, name=&lt;valid name&gt;
3. Send the request
4. Check the Status Code (expect 401) and the response body/error message</t>
  </si>
  <si>
    <t xml:space="preserve">key={{key}}
token=invalidTokenValue123
name=QA Test Board</t>
  </si>
  <si>
    <t xml:space="preserve">Request is rejected; response indicates unauthorized (invalid app token).</t>
  </si>
  <si>
    <t xml:space="preserve">TC-008</t>
  </si>
  <si>
    <t xml:space="preserve">TS-004</t>
  </si>
  <si>
    <t xml:space="preserve">GET /boards/{id}</t>
  </si>
  <si>
    <t xml:space="preserve">Verify that the returned ID matches the requested ID</t>
  </si>
  <si>
    <t xml:space="preserve">Functional / Positive</t>
  </si>
  <si>
    <t xml:space="preserve">1. User has a valid API Key and a valid Token
2. A board was successfully created and its ID is known</t>
  </si>
  <si>
    <t xml:space="preserve">1. Create a board first (POST /boards) and note its returned id
2. Send GET request to https://api.trello.com/1/boards/{boardId}
3. Add query params: key={{key}}, token={{token}}
4. Send the request
5. Compare the 'id' field in the response with the boardId used in the URL</t>
  </si>
  <si>
    <t xml:space="preserve">boardId=&lt;ID returned from board creation&gt;
key={{key}}
token={{token}}</t>
  </si>
  <si>
    <t xml:space="preserve">Response returns 200 with the board object (id, name, desc, closed, etc.).</t>
  </si>
  <si>
    <t xml:space="preserve">TC-009</t>
  </si>
  <si>
    <t xml:space="preserve">TS-005</t>
  </si>
  <si>
    <t xml:space="preserve">Get a board with incorrect id</t>
  </si>
  <si>
    <t xml:space="preserve">1. User has a valid API Key and a valid Token
2. A well-formatted but non-existent board ID is used</t>
  </si>
  <si>
    <t xml:space="preserve">1. Send GET request to https://api.trello.com/1/boards/{boardId}
2. Set boardId to a well-formatted but non-existent ID (24-char hex, e.g. 5f50c9d0a1b2c3d4e5f6a7b8)
3. Add query params: key={{key}}, token={{token}}
4. Send the request and check the Status Code (expect 404)</t>
  </si>
  <si>
    <t xml:space="preserve">boardId=5f50c9d0a1b2c3d4e5f6a7b8
key={{key}}
token={{token}}</t>
  </si>
  <si>
    <t xml:space="preserve">Request is rejected; response indicates the board was not found.</t>
  </si>
  <si>
    <t xml:space="preserve">Initial attempt used a malformed ID (11 digits), resulting in 400 (invalid format) instead of 404. Corrected using a well-formatted 24-char hex ID</t>
  </si>
  <si>
    <t xml:space="preserve">TC-010</t>
  </si>
  <si>
    <t xml:space="preserve">Get a board with empty id</t>
  </si>
  <si>
    <t xml:space="preserve">1. User has a valid API Key and a valid Token
2. Board ID field will be sent as an empty string</t>
  </si>
  <si>
    <t xml:space="preserve">1. Send GET request to https://api.trello.com/1/boards/ (leave the id path segment empty)
2. Add query params: key={{key}}, token={{token}}
3. Send the request and check the Status Code</t>
  </si>
  <si>
    <t xml:space="preserve">boardId=(empty)
key={{key}}
token={{token}}</t>
  </si>
  <si>
    <t xml:space="preserve">Request is rejected; the empty board id segment does not resolve to a valid resource (not found).</t>
  </si>
  <si>
    <t xml:space="preserve">This 404 comes from server-level routing ("Cannot GET"), not Trello's application logic like TC-009. Since boardId is a path parameter, leaving it empty produces a malformed URL that never reaches the backend.</t>
  </si>
  <si>
    <t xml:space="preserve">TC-011</t>
  </si>
  <si>
    <t xml:space="preserve">TS-006</t>
  </si>
  <si>
    <t xml:space="preserve">Get a board with empty Token</t>
  </si>
  <si>
    <t xml:space="preserve">1. An existing board ID is known
2. Token will be sent as an empty string</t>
  </si>
  <si>
    <t xml:space="preserve">1. Use an existing valid board id
2. Send GET request to https://api.trello.com/1/boards/{boardId}
3. Add query params: key={{key}}, token= (empty string)
4. Send the request and check the Status Code (expect 401)</t>
  </si>
  <si>
    <t xml:space="preserve">boardId=&lt;valid existing board id&gt;
key={{key}}
token=</t>
  </si>
  <si>
    <t xml:space="preserve">Request is rejected; response indicates unauthorized (missing/empty token).</t>
  </si>
  <si>
    <t xml:space="preserve">TC-012</t>
  </si>
  <si>
    <t xml:space="preserve">Get a board with Invalid Token</t>
  </si>
  <si>
    <t xml:space="preserve">1. An existing board ID is known
2. User has a malformed, expired, or revoked Token</t>
  </si>
  <si>
    <t xml:space="preserve">1. Use an existing valid board id
2. Send GET request to https://api.trello.com/1/boards/{boardId}
3. Add query params: key={{key}}, token=&lt;malformed/invalid string&gt;
4. Send the request and check the Status Code (expect 401)</t>
  </si>
  <si>
    <t xml:space="preserve">boardId=&lt;valid existing board id&gt;
key={{key}}
token=5f50c9d0a1b2c3d4e5f6a7b8</t>
  </si>
  <si>
    <t xml:space="preserve">Request is rejected; response indicates unauthorized (invalid token).</t>
  </si>
  <si>
    <t xml:space="preserve">TC-013</t>
  </si>
  <si>
    <t xml:space="preserve">TS-007</t>
  </si>
  <si>
    <t xml:space="preserve">PUT /boards/{id}</t>
  </si>
  <si>
    <t xml:space="preserve">Update a board name only with valid data</t>
  </si>
  <si>
    <t xml:space="preserve">1. User has a valid API Key and a valid Token
2. An existing board is available and its ID is known</t>
  </si>
  <si>
    <t xml:space="preserve">1. Create a board first and note its id
2. Send PUT request to https://api.trello.com/1/boards/{boardId}
3. Add query params: key={{key}}, token={{token}}, name=&lt;new valid name&gt;
4. Send the request and check the Status Code (expect 200) and the updated 'name' field</t>
  </si>
  <si>
    <t xml:space="preserve">boardId=&lt;valid existing board id&gt;
key={{key}}
token={{token}}
name=Updated Board Name</t>
  </si>
  <si>
    <t xml:space="preserve">Board is updated successfully; response reflects the new field value(s).</t>
  </si>
  <si>
    <t xml:space="preserve">TC-014</t>
  </si>
  <si>
    <t xml:space="preserve">TS-008</t>
  </si>
  <si>
    <t xml:space="preserve">Update board with valid-format but non-existent ID</t>
  </si>
  <si>
    <t xml:space="preserve">1. Send PUT request to https://api.trello.com/1/boards/{boardId}
2. Set boardId to a well-formatted but non-existent ID
3. Add query params: key={{key}}, token={{token}}, name=&lt;new name&gt;
4. Send the request and check the Status Code (expect 404)</t>
  </si>
  <si>
    <t xml:space="preserve">boardId=5f50c9d0a1b2c3d4e5f6a7b8
key={{key}}
token={{token}}
name=Updated Board Name</t>
  </si>
  <si>
    <t xml:space="preserve">TC-015</t>
  </si>
  <si>
    <t xml:space="preserve">Update board with malformed ID format</t>
  </si>
  <si>
    <t xml:space="preserve">1. User has a valid API Key and a valid Token
2. A badly formatted (malformed) board ID is used</t>
  </si>
  <si>
    <t xml:space="preserve">1. Send PUT request to https://api.trello.com/1/boards/{boardId}
2. Set boardId to a badly formatted (malformed) value, e.g. "123456"
3. Add query params: key={{key}}, token={{token}}, name=&lt;new name&gt;
4. Send the request and check the Status Code (expect 400)</t>
  </si>
  <si>
    <t xml:space="preserve">boardId=12345
key={{key}}
token={{token}}
name=Updated Board Name</t>
  </si>
  <si>
    <t xml:space="preserve">Request is rejected; response indicates a bad/invalid id format.</t>
  </si>
  <si>
    <t xml:space="preserve">TC-016</t>
  </si>
  <si>
    <t xml:space="preserve">TS-009</t>
  </si>
  <si>
    <t xml:space="preserve">Update board name with array instead of string via JSON body</t>
  </si>
  <si>
    <t xml:space="preserve">1. User has a valid API Key and a valid Token
2. An existing board is available
3. name field will be sent as a JSON array instead of string</t>
  </si>
  <si>
    <t xml:space="preserve">1. Use an existing valid board id
2. Send PUT request to https://api.trello.com/1/boards/{boardId} with query params: key={{key}}, token={{token}}
3. Set Body to raw JSON: { "name": ["new","qa"] }
4. Send the request and check the Status Code (expect 400)</t>
  </si>
  <si>
    <t xml:space="preserve">boardId=&lt;valid existing board id&gt;
key={{key}}
token={{token}}
Body: { "name": ["new","qa"] }</t>
  </si>
  <si>
    <t xml:space="preserve">Content-Type: application/json</t>
  </si>
  <si>
    <t xml:space="preserve">{ "name": ["new","qa"] }</t>
  </si>
  <si>
    <t xml:space="preserve">Response body: "invalid value for name" (Status 400)</t>
  </si>
  <si>
    <t xml:space="preserve">TC-017</t>
  </si>
  <si>
    <t xml:space="preserve">Update board closed field with string instead of boolean</t>
  </si>
  <si>
    <t xml:space="preserve">1. User has a valid API Key and a valid Token
2. An existing board is available
3. closed field will be sent as a string instead of boolean</t>
  </si>
  <si>
    <t xml:space="preserve">1. Use an existing valid board id
2. Send PUT request to https://api.trello.com/1/boards/{boardId}
3. Add query params: key={{key}}, token={{token}}, closed=notABoolean (string instead of boolean)
4. Send the request and check the Status Code (expect 400)</t>
  </si>
  <si>
    <t xml:space="preserve">boardId=&lt;valid existing board id&gt;
key={{key}}
token={{token}}
closed=jijjji</t>
  </si>
  <si>
    <t xml:space="preserve">Response body: "invalid value for closed" (Status 400)</t>
  </si>
  <si>
    <t xml:space="preserve">TC-018</t>
  </si>
  <si>
    <t xml:space="preserve">Update board name with integer instead of string via JSON body</t>
  </si>
  <si>
    <t xml:space="preserve">1. User has a valid API Key and a valid Token
2. An existing board is available
3. name field will be sent as an integer instead of string</t>
  </si>
  <si>
    <t xml:space="preserve">1. Use an existing valid board id
2. Send PUT request to https://api.trello.com/1/boards/{boardId} with query params: key={{key}}, token={{token}}
3. Set Body to raw JSON: { "name": 12345 }
4. Send the request and check the Status Code (expect 400)</t>
  </si>
  <si>
    <t xml:space="preserve">boardId=&lt;valid existing board id&gt;
key={{key}}
token={{token}}
Body: { "name": 12345 }</t>
  </si>
  <si>
    <t xml:space="preserve">{  "name": 12345 }</t>
  </si>
  <si>
    <t xml:space="preserve">TC-019</t>
  </si>
  <si>
    <t xml:space="preserve">TS-010</t>
  </si>
  <si>
    <t xml:space="preserve">PUT/boards/{id}/members/{idMember}</t>
  </si>
  <si>
    <t xml:space="preserve">	Add an existing member to a board using memberId</t>
  </si>
  <si>
    <t xml:space="preserve">1. User has a valid API Key and a valid Token
2. An existing board is available
3. Valid, existing memberId (member already has a Trello account)</t>
  </si>
  <si>
    <t xml:space="preserve">1. Use an existing valid board id
2. Send PUT request to https://api.trello.com/1/boards/{id}/members/{idMember}
3. Add query params: key={{key}}, token={{token}},{idMember} = {{memberId}}, type=normal
4. Send the request and check the Status Code (expect 200) and response contains the invited member</t>
  </si>
  <si>
    <t xml:space="preserve">boardId=&lt;valid existing board id&gt;
key={{key}}
token={{token}}
memberId={{memberId}}
type=normal</t>
  </si>
  <si>
    <t xml:space="preserve">Request succeeds; Member add to the board succesfuly</t>
  </si>
  <si>
    <t xml:space="preserve">TC-020</t>
  </si>
  <si>
    <t xml:space="preserve">TS-011</t>
  </si>
  <si>
    <t xml:space="preserve">Add a Member to a Board with valid-format but non-existent memberId</t>
  </si>
  <si>
    <t xml:space="preserve">1. User has a valid API Key and a valid Token
2. An existing board is available
</t>
  </si>
  <si>
    <t xml:space="preserve">1. Use an existing valid board id
2. Send PUT request to https://api.trello.com/1/boards/{id}/members/{idMember}
3. Add query params: key={{key}}, token={{token}}, type=normal
4. Send the request and check the Status Code (expect 400) and response indicates error 'member not found</t>
  </si>
  <si>
    <t xml:space="preserve">boardId=&lt;valid existing board id&gt;
key={{key}}
token={{token}}
memberId=&lt;6a8f0591f6073d565d08918d&gt;
type=normal</t>
  </si>
  <si>
    <t xml:space="preserve">Request is rejected; response indicates "member not found".</t>
  </si>
  <si>
    <t xml:space="preserve">TC-021</t>
  </si>
  <si>
    <t xml:space="preserve">Add a Member to a Board with invalid membership type value</t>
  </si>
  <si>
    <t xml:space="preserve">1. User has a valid API Key and a valid Token
2. An existing board is available
3. Valid existing memberId (member already has a Trello account)</t>
  </si>
  <si>
    <t xml:space="preserve">1. Use an existing valid board id
2. Send PUT request to https://api.trello.com/1/boards/{id}/members/{idMember}
3. Add query params: key={{key}}, token={{token}}, type=&lt;invalid membership type &gt;
4. Send the request and check the Status Code (expect 400) and response indicates error invalid value for type</t>
  </si>
  <si>
    <t xml:space="preserve">boardId=&lt;valid existing board id&gt;
key={{key}}
token={{token}}
memberId={{memberId}}
type=invalidType</t>
  </si>
  <si>
    <t xml:space="preserve">Request is rejected; response indicates "invalid value for type".</t>
  </si>
  <si>
    <t xml:space="preserve">TC-022</t>
  </si>
  <si>
    <t xml:space="preserve">TS-012</t>
  </si>
  <si>
    <t xml:space="preserve">GET /boards/{id}/members</t>
  </si>
  <si>
    <t xml:space="preserve">Get members list for a board with multiple members</t>
  </si>
  <si>
    <t xml:space="preserve">1. User has a valid API Key and a valid Token
2. An existing board with multiple members already added is available</t>
  </si>
  <si>
    <t xml:space="preserve">1. Use an existing board with multiple members already added
2. Send GET request to https://api.trello.com/1/boards/{boardId}/members
3. Add query params: key={{key}}, token={{token}}
4. Send the request and check the Status Code (expect 200) and that all members are listed</t>
  </si>
  <si>
    <t xml:space="preserve">boardId=&lt;board with multiple members&gt;
key={{key}}
token={{token}}</t>
  </si>
  <si>
    <t xml:space="preserve">Response returns 200 with the list of board members.</t>
  </si>
  <si>
    <t xml:space="preserve">TC-023</t>
  </si>
  <si>
    <t xml:space="preserve">TS-013</t>
  </si>
  <si>
    <t xml:space="preserve">Get members with valid-format but non-existent board ID</t>
  </si>
  <si>
    <t xml:space="preserve">1. Send GET request to https://api.trello.com/1/boards/{boardId}/members
2. Set boardId to a well-formatted but non-existent ID
3. Add query params: key={{key}}, token={{token}}
4. Send the request and check the Status Code (expect 404)</t>
  </si>
  <si>
    <t xml:space="preserve">TC-024</t>
  </si>
  <si>
    <t xml:space="preserve">TS-014</t>
  </si>
  <si>
    <t xml:space="preserve">Get members with empty token</t>
  </si>
  <si>
    <t xml:space="preserve">1. Use an existing valid board id
2. Send GET request to https://api.trello.com/1/boards/{boardId}/members
3. Add query params: key={{key}}, token= (empty string)
4. Send the request and check the Status Code (expect 401)</t>
  </si>
  <si>
    <t xml:space="preserve">TC-025</t>
  </si>
  <si>
    <t xml:space="preserve">TS-015</t>
  </si>
  <si>
    <t xml:space="preserve">DELETE /boards/{id}/members/{idMember}</t>
  </si>
  <si>
    <t xml:space="preserve">Remove member and verify member no longer in members list</t>
  </si>
  <si>
    <t xml:space="preserve">1. User has a valid API Key and a valid Token
2. An existing board with a member is available
3. Members list will be checked before and after removal</t>
  </si>
  <si>
    <t xml:space="preserve">1. Use an existing board with a member already added
2. Send DELETE request to https://api.trello.com/1/boards/{boardId}/members/{idMember}
3. Add query params: key={{key}}, token={{token}}
4. Send the request, then send GET /boards/{boardId}/members and verify the member is no longer in the list</t>
  </si>
  <si>
    <t xml:space="preserve">boardId=&lt;valid existing board id&gt;
idMember=&lt;member id&gt;
key={{key}}
token={{token}}</t>
  </si>
  <si>
    <t xml:space="preserve">GET request confirms the removed item/member no longer appears in the list.</t>
  </si>
  <si>
    <t xml:space="preserve">TC-026</t>
  </si>
  <si>
    <t xml:space="preserve">TS-016</t>
  </si>
  <si>
    <t xml:space="preserve">Remove member with valid-format but non-existent board ID</t>
  </si>
  <si>
    <t xml:space="preserve">1. Send DELETE request to https://api.trello.com/1/boards/{boardId}/members/{idMember}
2. Set boardId to a well-formatted but non-existent ID; use any idMember
3. Add query params: key={{key}}, token={{token}}
4. Send the request and check the Status Code (expect 404)</t>
  </si>
  <si>
    <t xml:space="preserve">boardId=5f50c9d0a1b2c3d4e5f6a7b8
idMember=&lt;any member id&gt;
key={{key}}
token={{token}}</t>
  </si>
  <si>
    <t xml:space="preserve">TC-027</t>
  </si>
  <si>
    <t xml:space="preserve">TS-017</t>
  </si>
  <si>
    <t xml:space="preserve">Remove member with valid-format but non-existent member ID</t>
  </si>
  <si>
    <t xml:space="preserve">1. User has a valid API Key and a valid Token
2. An existing board is available
3. A well-formatted but non-existent member ID is used</t>
  </si>
  <si>
    <t xml:space="preserve">1. Use an existing valid board id
2. Send DELETE request to https://api.trello.com/1/boards/{boardId}/members/{idMember}
3. Set idMember to a well-formatted but non-existent ID
4. Add query params: key={{key}}, token={{token}}
5. Send the request and check the Status Code (expect 401) and response body indicates "membership not found"</t>
  </si>
  <si>
    <t xml:space="preserve">boardId=&lt;valid existing board id&gt;
idMember=5f50c9d0a1b2c3d4e5f6a7b8
key={{key}}
token={{token}}</t>
  </si>
  <si>
    <t xml:space="preserve">Request is rejected with 401 Unauthorized; response body indicates "membership not found".</t>
  </si>
  <si>
    <t xml:space="preserve">TC-028</t>
  </si>
  <si>
    <t xml:space="preserve">TS-018</t>
  </si>
  <si>
    <t xml:space="preserve">Remove member without token</t>
  </si>
  <si>
    <t xml:space="preserve">1. An existing board with a member is available
2. Request will be sent with no Token field included</t>
  </si>
  <si>
    <t xml:space="preserve">1. Use an existing board with a member already added
2. Send DELETE request to https://api.trello.com/1/boards/{boardId}/members/{idMember}
3. Add query params: key={{key}} (do NOT add token param at all)
4. Send the request and check the Status Code (expect 401)</t>
  </si>
  <si>
    <t xml:space="preserve">boardId=&lt;valid existing board id&gt;
idMember=&lt;member id&gt;
key={{key}}
(token param omitted)</t>
  </si>
  <si>
    <t xml:space="preserve">TC-029</t>
  </si>
  <si>
    <t xml:space="preserve">TS-019</t>
  </si>
  <si>
    <t xml:space="preserve">GET /boards/{id}/memberships</t>
  </si>
  <si>
    <t xml:space="preserve">Get memberships list for a board with multiple memberships</t>
  </si>
  <si>
    <t xml:space="preserve">1. User has a valid API Key and a valid Token
2. An existing board with multiple memberships already added is available</t>
  </si>
  <si>
    <t xml:space="preserve">1. Use an existing board with multiple memberships already added
2. Send GET request to https://api.trello.com/1/boards/{boardId}/memberships
3. Add query params: key={{key}}, token={{token}}
4. Send the request and check the Status Code (expect 200) and that all memberships are listed</t>
  </si>
  <si>
    <t xml:space="preserve">boardId=&lt;board with multiple memberships&gt;
key={{key}}
token={{token}}</t>
  </si>
  <si>
    <t xml:space="preserve">Response returns 200 with the list of board memberships (id, idMember, memberType).</t>
  </si>
  <si>
    <t xml:space="preserve">TC-030</t>
  </si>
  <si>
    <t xml:space="preserve">Verify returned membership fields (id, idMember, memberType)</t>
  </si>
  <si>
    <t xml:space="preserve">1. User has a valid API Key and a valid Token
2. An existing board with at least one membership is available</t>
  </si>
  <si>
    <t xml:space="preserve">1. Use an existing board with at least one membership
2. Send GET request to https://api.trello.com/1/boards/{boardId}/memberships
3. Add query params: key={{key}}, token={{token}}
4. Send the request and verify each membership object contains id, idMember and memberType fields</t>
  </si>
  <si>
    <t xml:space="preserve">boardId=&lt;valid existing board id&gt;
key={{key}}
token={{token}}</t>
  </si>
  <si>
    <t xml:space="preserve">TC-031</t>
  </si>
  <si>
    <t xml:space="preserve">TS-020</t>
  </si>
  <si>
    <t xml:space="preserve">Get memberships with valid-format but non-existent board ID</t>
  </si>
  <si>
    <t xml:space="preserve">1. Send GET request to https://api.trello.com/1/boards/{boardId}/memberships
2. Set boardId to a well-formatted but non-existent ID
3. Add query params: key={{key}}, token={{token}}
4. Send the request and check the Status Code (expect 404)</t>
  </si>
  <si>
    <t xml:space="preserve">TC-032</t>
  </si>
  <si>
    <t xml:space="preserve">TS-021</t>
  </si>
  <si>
    <t xml:space="preserve">Get memberships with empty token</t>
  </si>
  <si>
    <t xml:space="preserve">1. Use an existing valid board id
2. Send GET request to https://api.trello.com/1/boards/{boardId}/memberships
3. Add query params: key={{key}}, token= (empty string)
4. Send the request and check the Status Code (expect 401)</t>
  </si>
  <si>
    <t xml:space="preserve">TC-033</t>
  </si>
  <si>
    <t xml:space="preserve">TS-022</t>
  </si>
  <si>
    <t xml:space="preserve">PUT /boards/{id}/memberships/{idMembership}</t>
  </si>
  <si>
    <t xml:space="preserve">Update membership type from normal to admin</t>
  </si>
  <si>
    <t xml:space="preserve">1. User has a valid API Key and a valid Token
2. An existing board with a member whose current type is "normal" is available</t>
  </si>
  <si>
    <t xml:space="preserve">1. Use an existing board with a member whose current type is "normal"; note the membership id
2. Send PUT request to https://api.trello.com/1/boards/{boardId}/memberships/{idMembership}
3. Add query params: key={{key}}, token={{token}}, type=admin
4. Send the request and check the Status Code (expect 200) and the returned type field</t>
  </si>
  <si>
    <t xml:space="preserve">boardId=&lt;valid existing board id&gt;
idMembership=&lt;membership id&gt;
key={{key}}
token={{token}}
type=admin</t>
  </si>
  <si>
    <t xml:space="preserve">Membership type is updated successfully; response reflects the new type and confirms the updated value is reflected in the response.</t>
  </si>
  <si>
    <t xml:space="preserve">TC-034</t>
  </si>
  <si>
    <t xml:space="preserve">TS-023</t>
  </si>
  <si>
    <t xml:space="preserve">Update membership with valid-format but non-existent board ID</t>
  </si>
  <si>
    <t xml:space="preserve">1. Send PUT request to https://api.trello.com/1/boards/{boardId}/memberships/{idMembership}
2. Set boardId to a well-formatted but non-existent ID; use any idMembership
3. Add query params: key={{key}}, token={{token}}, type=admin
4. Send the request and check the Status Code (expect 404)</t>
  </si>
  <si>
    <t xml:space="preserve">boardId=5f50c9d0a1b2c3d4e5f6a7b8
idMembership=&lt;any membership id&gt;
key={{key}}
token={{token}}
type=admin</t>
  </si>
  <si>
    <t xml:space="preserve">TC-035</t>
  </si>
  <si>
    <t xml:space="preserve">TS-024</t>
  </si>
  <si>
    <t xml:space="preserve">Update membership with valid-format but non-existent membership ID</t>
  </si>
  <si>
    <t xml:space="preserve">1. User has a valid API Key and a valid Token
2. An existing board is available
3. A well-formatted but non-existent membership ID is used</t>
  </si>
  <si>
    <t xml:space="preserve">1. Use an existing valid board id
2. Send PUT request to https://api.trello.com/1/boards/{boardId}/memberships/{idMembership}
3. Set idMembership to a well-formatted but non-existent ID
4. Add query params: key={{key}}, token={{token}}, type=admin
5. Send the request and check the Status Code (expect 404)</t>
  </si>
  <si>
    <t xml:space="preserve">boardId=&lt;valid existing board id&gt;
idMembership=5f50c9d0a1b2c3d4e5f6a7b8
key={{key}}
token={{token}}
type=admin</t>
  </si>
  <si>
    <t xml:space="preserve">Request is rejected; response indicates the membership does not exis.</t>
  </si>
  <si>
    <t xml:space="preserve">TC-036</t>
  </si>
  <si>
    <t xml:space="preserve">TS-025</t>
  </si>
  <si>
    <t xml:space="preserve">Update membership with invalid type value (not admin/normal/observer)</t>
  </si>
  <si>
    <t xml:space="preserve">1. User has a valid API Key and a valid Token
2. An existing board with a membership is available
3. type value prepared outside the allowed enum</t>
  </si>
  <si>
    <t xml:space="preserve">1. Use an existing board with a membership id
2. Send PUT request to https://api.trello.com/1/boards/{boardId}/memberships/{idMembership}
3. Add query params: key={{key}}, token={{token}}, type=superadmin (value outside admin/normal/observer)
4. Send the request and check the Status Code (expect 400)</t>
  </si>
  <si>
    <t xml:space="preserve">boardId=&lt;valid existing board id&gt;
idMembership=&lt;membership id&gt;
key={{key}}
token={{token}}
type=superadmin</t>
  </si>
  <si>
    <t xml:space="preserve">Request is rejected; response indicates the type value is not a supported membership type.</t>
  </si>
  <si>
    <t xml:space="preserve">TC-037</t>
  </si>
  <si>
    <t xml:space="preserve">Update membership with type as integer instead of string</t>
  </si>
  <si>
    <t xml:space="preserve">1. User has a valid API Key and a valid Token
2. An existing board with a membership is available
3. type field will be sent as an integer instead of string</t>
  </si>
  <si>
    <t xml:space="preserve">1. Use an existing board with a membership id
2. Send PUT request to https://api.trello.com/1/boards/{boardId}/memberships/{idMembership}
3. Add query params: key={{key}}, token={{token}}, type=2225 (integer instead of string)
4. Send the request and check the Status Code (expect 400)</t>
  </si>
  <si>
    <t xml:space="preserve">boardId=&lt;valid existing board id&gt;
idMembership=&lt;membership id&gt;
key={{key}}
token={{token}}
type=2225</t>
  </si>
  <si>
    <t xml:space="preserve">Request is rejected; response indicates the field has an invalid data type.</t>
  </si>
  <si>
    <t xml:space="preserve">TC-038</t>
  </si>
  <si>
    <t xml:space="preserve">Update membership with empty type field</t>
  </si>
  <si>
    <t xml:space="preserve">1. User has a valid API Key and a valid Token
2. An existing board with a membership is available
3. type field will be sent as an empty string</t>
  </si>
  <si>
    <t xml:space="preserve">1. Use an existing board with a membership id
2. Send PUT request to https://api.trello.com/1/boards/{boardId}/memberships/{idMembership}
3. Add query params: key={{key}}, token={{token}}, type= (empty string)
4. Send the request and check the Status Code (expect 400)</t>
  </si>
  <si>
    <t xml:space="preserve">boardId=&lt;valid existing board id&gt;
idMembership=&lt;membership id&gt;
key={{key}}
token={{token}}
type=</t>
  </si>
  <si>
    <t xml:space="preserve">TC-039</t>
  </si>
  <si>
    <t xml:space="preserve">TS-026</t>
  </si>
  <si>
    <t xml:space="preserve">GET /boards/{boardId}/actions</t>
  </si>
  <si>
    <t xml:space="preserve">Get all actions for a board with activity history</t>
  </si>
  <si>
    <t xml:space="preserve">1. User has a valid API Key and a valid Token
2. An existing board with prior activity (create/update/add actions) is available</t>
  </si>
  <si>
    <t xml:space="preserve">1. Use an existing board that has activity history (creates/updates/etc.)
2. Send GET request to https://api.trello.com/1/boards/{boardId}/actions
3. Add query params: key={{key}}, token={{token}}
4. Send the request and check the Status Code (expect 200) and that the actions list is not empty</t>
  </si>
  <si>
    <t xml:space="preserve">boardId=&lt;board with activity history&gt;
key={{key}}
token={{token}}</t>
  </si>
  <si>
    <t xml:space="preserve">Response returns 200 with the list of actions performed on the board.</t>
  </si>
  <si>
    <t xml:space="preserve">TC-040</t>
  </si>
  <si>
    <t xml:space="preserve">Get actions for a newly created board with minimal history</t>
  </si>
  <si>
    <t xml:space="preserve">1. User has a valid API Key and a valid Token
2. A board was just created with no further actions performed on it</t>
  </si>
  <si>
    <t xml:space="preserve">1. Create a new board (no further actions performed on it)
2. Send GET request to https://api.trello.com/1/boards/{boardId}/actions
3. Add query params: key={{key}}, token={{token}}
4. Send the request and check the Status Code (expect 200) and the minimal action list (e.g. only 'createBoard')</t>
  </si>
  <si>
    <t xml:space="preserve">boardId=&lt;newly created board&gt;
key={{key}}
token={{token}}</t>
  </si>
  <si>
    <t xml:space="preserve">TC-041</t>
  </si>
  <si>
    <t xml:space="preserve">TS-027</t>
  </si>
  <si>
    <t xml:space="preserve">Get actions with valid-format but non-existent board ID</t>
  </si>
  <si>
    <t xml:space="preserve">Medium</t>
  </si>
  <si>
    <t xml:space="preserve">1. Send GET request to https://api.trello.com/1/boards/{boardId}/actions
2. Set boardId to a well-formatted but non-existent ID
3. Add query params: key={{key}}, token={{token}}
4. Send the request and check the Status Code (expect 404)</t>
  </si>
  <si>
    <t xml:space="preserve">TC-042</t>
  </si>
  <si>
    <t xml:space="preserve">Get actions with malformed board ID format</t>
  </si>
  <si>
    <t xml:space="preserve">1. Send GET request to https://api.trello.com/1/boards/{boardId}/actions
2. Set boardId to a badly formatted (malformed) value
3. Add query params: key={{key}}, token={{token}}
4. Send the request and check the Status Code (expect 400)</t>
  </si>
  <si>
    <t xml:space="preserve">boardId=12345
key={{key}}
token={{token}}</t>
  </si>
  <si>
    <t xml:space="preserve">TC-043</t>
  </si>
  <si>
    <t xml:space="preserve">TS-028</t>
  </si>
  <si>
    <t xml:space="preserve">Get actions without token</t>
  </si>
  <si>
    <t xml:space="preserve">1. An existing board ID is known
2. Request will be sent with no Token field included</t>
  </si>
  <si>
    <t xml:space="preserve">1. Use an existing valid board id
2. Send GET request to https://api.trello.com/1/boards/{boardId}/actions
3. Add query params: key={{key}} (do NOT add token param at all)
4. Send the request and check the Status Code (expect 401)</t>
  </si>
  <si>
    <t xml:space="preserve">boardId=&lt;valid existing board id&gt;
key={{key}}
(token param omitted)</t>
  </si>
  <si>
    <t xml:space="preserve">TC-044</t>
  </si>
  <si>
    <t xml:space="preserve">Get actions with empty token</t>
  </si>
  <si>
    <t xml:space="preserve">1. Use an existing valid board id
2. Send GET request to https://api.trello.com/1/boards/{boardId}/actions
3. Add query params: key={{key}}, token= (empty string)
4. Send the request and check the Status Code (expect 401)</t>
  </si>
  <si>
    <t xml:space="preserve">TC-045</t>
  </si>
  <si>
    <t xml:space="preserve">TS-029</t>
  </si>
  <si>
    <t xml:space="preserve">Get actions with invalid "limit" parameter (negative number)</t>
  </si>
  <si>
    <t xml:space="preserve">1. User has a valid API Key and a valid Token
2. An existing board is available
3. limit parameter will be sent as a negative number</t>
  </si>
  <si>
    <t xml:space="preserve">1. Use an existing valid board id
2. Send GET request to https://api.trello.com/1/boards/{boardId}/actions
3. Add query params: key={{key}}, token={{token}}, limit=-5
4. Send the request and check the Status Code (expect 400)</t>
  </si>
  <si>
    <t xml:space="preserve">boardId=&lt;valid existing board id&gt;
key={{key}}
token={{token}}
limit=-5</t>
  </si>
  <si>
    <t xml:space="preserve">Request is rejected; response indicates invalid value for limi.</t>
  </si>
  <si>
    <t xml:space="preserve">TC-046</t>
  </si>
  <si>
    <t xml:space="preserve">Get actions with "limit" exceeding maximum allowed value</t>
  </si>
  <si>
    <t xml:space="preserve">1. User has a valid API Key and a valid Token
2. An existing board is available
3. limit parameter will be sent above the allowed maximum</t>
  </si>
  <si>
    <t xml:space="preserve">1. Use an existing valid board id
2. Send GET request to https://api.trello.com/1/boards/{boardId}/actions
3. Add query params: key={{key}}, token={{token}}, limit=5000 (above the documented max of 1000)
4. Send the request and check the Status Code (expect 400)</t>
  </si>
  <si>
    <t xml:space="preserve">boardId=&lt;valid existing board id&gt;
key={{key}}
token={{token}}
limit=5000</t>
  </si>
  <si>
    <t xml:space="preserve">Request is rejected; response indicates invalid value for limit.</t>
  </si>
  <si>
    <t xml:space="preserve">TC-047</t>
  </si>
  <si>
    <t xml:space="preserve">Get actions with invalid "since"/ "before" date format</t>
  </si>
  <si>
    <t xml:space="preserve">1. User has a valid API Key and a valid Token
2. An existing board is available
3. since/before parameter will be sent in an invalid date format</t>
  </si>
  <si>
    <t xml:space="preserve">1. Use an existing valid board id
2. Send GET request to https://api.trello.com/1/boards/{boardId}/actions
3. Add query params: key={{key}}, token={{token}}, since=not-a-date
4. Send the request and check the Status Code (expect 400)</t>
  </si>
  <si>
    <t xml:space="preserve">boardId=&lt;valid existing board id&gt;
key={{key}}
token={{token}}
since=not-a-date</t>
  </si>
  <si>
    <t xml:space="preserve">Request is rejected; response indicates message: "invalid date"</t>
  </si>
  <si>
    <t xml:space="preserve">TC-048</t>
  </si>
  <si>
    <t xml:space="preserve">TS-030</t>
  </si>
  <si>
    <t xml:space="preserve">DELETE /boards/{id}</t>
  </si>
  <si>
    <t xml:space="preserve">Delete a board with no members other than owner</t>
  </si>
  <si>
    <t xml:space="preserve">1. User has a valid API Key and a valid Token
2. An existing board with no members other than the owner is available</t>
  </si>
  <si>
    <t xml:space="preserve">1. Create a board with no members other than the owner and note its id
2. Send DELETE request to https://api.trello.com/1/boards/{boardId}
3. Add query params: key={{key}}, token={{token}}
4. Send the request and check the Status Code (expect 200)</t>
  </si>
  <si>
    <t xml:space="preserve">boardId=&lt;board with only owner&gt;
key={{key}}
token={{token}}</t>
  </si>
  <si>
    <t xml:space="preserve">Board is deleted successfully.</t>
  </si>
  <si>
    <t xml:space="preserve">TC-049</t>
  </si>
  <si>
    <t xml:space="preserve">Verify board no longer exists after deletion (GET returns 404)</t>
  </si>
  <si>
    <t xml:space="preserve">1. User has a valid API Key and a valid Token
2. A board was just deleted and its ID is known</t>
  </si>
  <si>
    <t xml:space="preserve">1. Delete a board as in TC-068 and note its id
2. Send GET request to https://api.trello.com/1/boards/{boardId}
3. Add query params: key={{key}}, token={{token}}
4. Send the request and check the Status Code (expect 404)</t>
  </si>
  <si>
    <t xml:space="preserve">boardId=&lt;the deleted board id&gt;
key={{key}}
token={{token}}</t>
  </si>
  <si>
    <t xml:space="preserve">TC-050</t>
  </si>
  <si>
    <t xml:space="preserve">TS-031</t>
  </si>
  <si>
    <t xml:space="preserve">Delete board with valid-format but non-existent board ID</t>
  </si>
  <si>
    <t xml:space="preserve">1. Send DELETE request to https://api.trello.com/1/boards/{boardId}
2. Set boardId to a well-formatted but non-existent ID
3. Add query params: key={{key}}, token={{token}}
4. Send the request and check the Status Code (expect 404)</t>
  </si>
  <si>
    <t xml:space="preserve">TC-051</t>
  </si>
  <si>
    <t xml:space="preserve">Delete board with malformed board ID format</t>
  </si>
  <si>
    <t xml:space="preserve">1. Send DELETE request to https://api.trello.com/1/boards/{boardId}
2. Set boardId to a badly formatted (malformed) value
3. Add query params: key={{key}}, token={{token}}
4. Send the request and check the Status Code (expect 400)</t>
  </si>
  <si>
    <t xml:space="preserve">TC-052</t>
  </si>
  <si>
    <t xml:space="preserve">TS-032</t>
  </si>
  <si>
    <t xml:space="preserve">Delete board without token</t>
  </si>
  <si>
    <t xml:space="preserve">1. Use an existing valid board id
2. Send DELETE request to https://api.trello.com/1/boards/{boardId}
3. Add query params: key={{key}} (do NOT add token param at all)
4. Send the request and check the Status Code (expect 401)</t>
  </si>
  <si>
    <t xml:space="preserve">TC-053</t>
  </si>
  <si>
    <t xml:space="preserve">Delete board with empty token</t>
  </si>
  <si>
    <t xml:space="preserve">1. Use an existing valid board id
2. Send DELETE request to https://api.trello.com/1/boards/{boardId}
3. Add query params: key={{key}}, token= (empty string)
4. Send the request and check the Status Code (expect 401)</t>
  </si>
  <si>
    <t xml:space="preserve">TC-054</t>
  </si>
  <si>
    <t xml:space="preserve">Delete board with invalid/expired token</t>
  </si>
  <si>
    <t xml:space="preserve">1. Use an existing valid board id
2. Send DELETE request to https://api.trello.com/1/boards/{boardId}
3. Add query params: key={{key}}, token=&lt;malformed/expired value&gt;
4. Send the request and check the Status Code (expect 401)</t>
  </si>
  <si>
    <t xml:space="preserve">boardId=&lt;valid existing board id&gt;
key={{key}}
token=invalidTokenValue123</t>
  </si>
  <si>
    <t xml:space="preserve">Status code matched (401) as expected. However, response body returned 'invalid key' instead of 'invalid token'. Verified separately that sending an invalid key also returns 'invalid key' — confirming this is a key-related issue in the test setup, not a token-validation failure."</t>
  </si>
  <si>
    <t xml:space="preserve">TC-055</t>
  </si>
  <si>
    <t xml:space="preserve">TS-033</t>
  </si>
  <si>
    <t xml:space="preserve">List</t>
  </si>
  <si>
    <t xml:space="preserve">POST  /lists</t>
  </si>
  <si>
    <t xml:space="preserve">Create list with valid name on existing board</t>
  </si>
  <si>
    <t xml:space="preserve">1. User has a valid API Key and a valid Token
2. An existing board is available
3. A valid list name is prepared</t>
  </si>
  <si>
    <t xml:space="preserve">1. Send POST request to https://api.trello.com/1/lists
2. Add query params: key={{key}}, token={{token}}, idBoard=&lt;existing board id&gt;, name=&lt;valid list name&gt;
3. Send the request
4. Check the Status Code and the response body</t>
  </si>
  <si>
    <t xml:space="preserve">key={{key}}
token={{token}}
idBoard=&lt;existing board id&gt;
name=To Do Tasks</t>
  </si>
  <si>
    <t xml:space="preserve">List is created successfully with status code 200; response body contains: id (non-empty string), name equal to "To Do List", idBoard equal to the board id sent in the request, and closed equal to false.</t>
  </si>
  <si>
    <t xml:space="preserve">TC-056</t>
  </si>
  <si>
    <t xml:space="preserve">Create list with valid name and position (top/bottom)</t>
  </si>
  <si>
    <t xml:space="preserve">1. User has a valid API Key and a valid Token
2. An existing board is available
3. A valid list name and position (top/bottom) are prepared</t>
  </si>
  <si>
    <t xml:space="preserve">1. Send POST request to https://api.trello.com/1/lists
2. Add query params: key={{key}}, token={{token}}, idBoard=&lt;existing board id&gt;, name=&lt;valid list name&gt;, pos=top (or bottom)
3. Send the request
4. Check the Status Code and that the list is created at the requested position</t>
  </si>
  <si>
    <t xml:space="preserve">key={{key}}
token={{token}}
idBoard=&lt;existing board id&gt;
name= To Do Tasks
pos=top</t>
  </si>
  <si>
    <t xml:space="preserve">List is created successfully with status code 200; response contains id, name equal to "To Do Tasks", idBoard matching the request, and a pos value; when compared against other lists on the board, this list's pos is the lowest (confirming top position).</t>
  </si>
  <si>
    <t xml:space="preserve">TC-057</t>
  </si>
  <si>
    <t xml:space="preserve">TS-034</t>
  </si>
  <si>
    <t xml:space="preserve">Create list without name field</t>
  </si>
  <si>
    <t xml:space="preserve">1. User has a valid API Key and a valid Token
2. An existing board is available
3. name field will be omitted from the request</t>
  </si>
  <si>
    <t xml:space="preserve">1. Send POST request to https://api.trello.com/1/lists
2. Add query params: key={{key}}, token={{token}}, idBoard=&lt;existing board id&gt; (do NOT add name param)
3. Send the request
4. Check the Status Code and the response body/error message</t>
  </si>
  <si>
    <t xml:space="preserve">key={{key}}
token={{token}}
idBoard=&lt;existing board id&gt;
(name param omitted)</t>
  </si>
  <si>
    <t xml:space="preserve">Request is rejected with status code 400; response body contains error "BAD_REQUEST_ERROR" and message referencing invalid/missing name value.</t>
  </si>
  <si>
    <t xml:space="preserve">TC-058</t>
  </si>
  <si>
    <t xml:space="preserve">Create list with empty name field</t>
  </si>
  <si>
    <t xml:space="preserve">1. User has a valid API Key and a valid Token
2. An existing board is available
3. name field will be sent as an empty string</t>
  </si>
  <si>
    <t xml:space="preserve">1. Send POST request to https://api.trello.com/1/lists
2. Add query params: key={{key}}, token={{token}}, idBoard=&lt;existing board id&gt;, name= (empty string)
3. Send the request
4. Check the Status Code and the response body/error message</t>
  </si>
  <si>
    <t xml:space="preserve">key={{key}}
token={{token}}
idBoard=&lt;existing board id&gt;
name=</t>
  </si>
  <si>
    <t xml:space="preserve">Request is rejected with status code 400; response body contains error "BAD_REQUEST_ERROR" and message indicating invalid value for name.</t>
  </si>
  <si>
    <t xml:space="preserve">TC-059</t>
  </si>
  <si>
    <t xml:space="preserve">Create list without board ID (idBoard)</t>
  </si>
  <si>
    <t xml:space="preserve">1. User has a valid API Key and a valid Token
2. idBoard field will be omitted from the request</t>
  </si>
  <si>
    <t xml:space="preserve">1. Send POST request to https://api.trello.com/1/lists
2. Add query params: key={{key}}, token={{token}}, name=&lt;valid list name&gt; (do NOT add idBoard param)
3. Send the request
4. Check the Status Code and the response body/error message</t>
  </si>
  <si>
    <t xml:space="preserve">key={{key}}
token={{token}}
name=To Do List
(idBoard param omitted)</t>
  </si>
  <si>
    <t xml:space="preserve">Request is rejected with status code 400; response body indicates invalid value for idBoard.</t>
  </si>
  <si>
    <t xml:space="preserve">TC-060</t>
  </si>
  <si>
    <t xml:space="preserve">TS-035</t>
  </si>
  <si>
    <t xml:space="preserve">Create list with invalid position value (non-numeric)</t>
  </si>
  <si>
    <t xml:space="preserve">1. User has a valid API Key and a valid Token
2. An existing board is available
3. pos value will be sent as non-numeric</t>
  </si>
  <si>
    <t xml:space="preserve">1. Send POST request to https://api.trello.com/1/lists
2. Add query params: key={{key}}, token={{token}}, idBoard=&lt;existing board id&gt;, name=&lt;valid name&gt;, pos=notANumber,top,bottom
3. Send the request
4. Check the Status Code and the response body/error message</t>
  </si>
  <si>
    <t xml:space="preserve">key={{key}}
token={{token}}
idBoard=&lt;existing board id&gt;
name=To Do List
pos=notANumber</t>
  </si>
  <si>
    <t xml:space="preserve">Request is rejected with status code 400; response body contains error "ERROR" and message "Invalid position."</t>
  </si>
  <si>
    <t xml:space="preserve">TC-061</t>
  </si>
  <si>
    <t xml:space="preserve">Create list with invalid position value (negative number)</t>
  </si>
  <si>
    <t xml:space="preserve">1. User has a valid API Key and a valid Token
2. An existing board is available
3. pos value will be sent as a negative number</t>
  </si>
  <si>
    <t xml:space="preserve">1. Send POST request to https://api.trello.com/1/lists
2. Add query params: key={{key}}, token={{token}}, idBoard=&lt;existing board id&gt;, name=&lt;valid name&gt;, pos=-5
3. Send the request
4. Check the Status Code and the response body/error message</t>
  </si>
  <si>
    <t xml:space="preserve">key={{key}}
token={{token}}
idBoard=&lt;existing board id&gt;
name=To Do List
pos=-5</t>
  </si>
  <si>
    <t xml:space="preserve">TC-062</t>
  </si>
  <si>
    <t xml:space="preserve">Create list with pos as string instead of "top"/"bottom"/number</t>
  </si>
  <si>
    <t xml:space="preserve">1. User has a valid API Key and a valid Token
2. An existing board is available
3. pos field will be sent as an unsupported string</t>
  </si>
  <si>
    <t xml:space="preserve">1. Send POST request to https://api.trello.com/1/lists
2. Add query params: key={{key}}, token={{token}}, idBoard=&lt;existing board id&gt;, name=&lt;valid name&gt;, pos=middle (unsupported string)
3. Send the request
4. Check the Status Code and the response body/error message</t>
  </si>
  <si>
    <t xml:space="preserve">key={{key}}
token={{token}}
idBoard=&lt;existing board id&gt;
name=To Do List
pos=middle</t>
  </si>
  <si>
    <t xml:space="preserve">TC-063</t>
  </si>
  <si>
    <t xml:space="preserve">TS-036</t>
  </si>
  <si>
    <t xml:space="preserve">GET /lists/{id}</t>
  </si>
  <si>
    <t xml:space="preserve">Get list by valid ID</t>
  </si>
  <si>
    <t xml:space="preserve">1. User has a valid API Key and a valid Token
2. A list was successfully created and its ID is known</t>
  </si>
  <si>
    <t xml:space="preserve">1. Create a list first (POST /lists) and note its returned id
2. Send GET request to https://api.trello.com/1/lists/{listId}
3. Add query params: key={{key}}, token={{token}}
4. Send the request and check the Status Code (expect 200)</t>
  </si>
  <si>
    <t xml:space="preserve">listId=&lt;ID returned from list creation&gt;
key={{key}}
token={{token}}</t>
  </si>
  <si>
    <t xml:space="preserve">Response returns 200; response body contains id equal to the requested listId, name equal to the list's name at creation, idBoard matching its board, and closed equal to false.</t>
  </si>
  <si>
    <t xml:space="preserve">TC-064</t>
  </si>
  <si>
    <t xml:space="preserve">TS-037</t>
  </si>
  <si>
    <t xml:space="preserve">Get list with valid-format but non-existent ID</t>
  </si>
  <si>
    <t xml:space="preserve">1. User has a valid API Key and a valid Token
2. A well-formatted but non-existent list ID is used</t>
  </si>
  <si>
    <t xml:space="preserve">1. Send GET request to https://api.trello.com/1/lists/{listId}
2. Set listId to a well-formatted but non-existent ID (24-char hex, e.g. 5f50c9d0a1b2c3d4e5f6a7b8)
3. Add query params: key={{key}}, token={{token}}
4. Send the request and check the Status Code (expect 404)</t>
  </si>
  <si>
    <t xml:space="preserve">listId=5f50c9d0a1b2c3d4e5f6a7b8
key={{key}}
token={{token}}</t>
  </si>
  <si>
    <t xml:space="preserve">Request is rejected with status code 404; response body contains message "model not found".</t>
  </si>
  <si>
    <t xml:space="preserve">TC-065</t>
  </si>
  <si>
    <t xml:space="preserve">Get list with malformed ID format</t>
  </si>
  <si>
    <t xml:space="preserve">1. User has a valid API Key and a valid Token
2. A badly formatted (malformed) list ID is used</t>
  </si>
  <si>
    <t xml:space="preserve">1. Send GET request to https://api.trello.com/1/lists/{listId}
2. Set listId to a badly formatted (malformed) value, e.g. "12345"
3. Add query params: key={{key}}, token={{token}}
4. Send the request and check the Status Code (expect 400)</t>
  </si>
  <si>
    <t xml:space="preserve">listId=12345
key={{key}}
token={{token}}</t>
  </si>
  <si>
    <t xml:space="preserve">Request is rejected with status code 400; response body contains message "invalid id".</t>
  </si>
  <si>
    <t xml:space="preserve">TC-066</t>
  </si>
  <si>
    <t xml:space="preserve">TS-038</t>
  </si>
  <si>
    <t xml:space="preserve">Get list without token</t>
  </si>
  <si>
    <t xml:space="preserve">1. An existing list ID is known
2. Request will be sent with no Token field included</t>
  </si>
  <si>
    <t xml:space="preserve">1. Use an existing valid list id
2. Send GET request to https://api.trello.com/1/lists/{listId}
3. Add query params: key={{key}} (do NOT add token param at all)
4. Send the request and check the Status Code (expect 401)</t>
  </si>
  <si>
    <t xml:space="preserve">listId=&lt;valid existing list id&gt;
key={{key}}
(token param omitted)</t>
  </si>
  <si>
    <t xml:space="preserve">Request is rejected with status code 401; response body contains message "missing scopes".</t>
  </si>
  <si>
    <t xml:space="preserve">TC-067</t>
  </si>
  <si>
    <t xml:space="preserve">Get list with empty token</t>
  </si>
  <si>
    <t xml:space="preserve">1. An existing list ID is known
2. Token will be sent as an empty string</t>
  </si>
  <si>
    <t xml:space="preserve">1. Use an existing valid list id
2. Send GET request to https://api.trello.com/1/lists/{listId}
3. Add query params: key={{key}}, token= (empty string)
4. Send the request and check the Status Code (expect 401)</t>
  </si>
  <si>
    <t xml:space="preserve">listId=&lt;valid existing list id&gt;
key={{key}}
token=</t>
  </si>
  <si>
    <t xml:space="preserve">TC-068</t>
  </si>
  <si>
    <t xml:space="preserve">TS-039</t>
  </si>
  <si>
    <t xml:space="preserve">PUT /lists/{id}</t>
  </si>
  <si>
    <t xml:space="preserve">Update list name</t>
  </si>
  <si>
    <t xml:space="preserve">1. User has a valid API Key and a valid Token
2. An existing list is available
3. A new valid name is prepared</t>
  </si>
  <si>
    <t xml:space="preserve">1. Use an existing valid list id
2. Send PUT request to https://api.trello.com/1/lists/{listId}
3. Add query params: key={{key}}, token={{token}}, name=&lt;new valid name&gt;
4. Send the request and check the Status Code (expect 200) and the updated 'name' field</t>
  </si>
  <si>
    <t xml:space="preserve">listId=&lt;valid existing list id&gt;
key={{key}}
token={{token}}
name=Updated List Name</t>
  </si>
  <si>
    <t xml:space="preserve">List is updated successfully; response reflects the new field value(s).</t>
  </si>
  <si>
    <t xml:space="preserve">TC-069</t>
  </si>
  <si>
    <t xml:space="preserve">Update list position</t>
  </si>
  <si>
    <t xml:space="preserve">1. User has a valid API Key and a valid Token
2. An existing list is available
3. A new valid position is prepared</t>
  </si>
  <si>
    <t xml:space="preserve">1. Use an existing valid list id
2. Send PUT request to https://api.trello.com/1/lists/{listId}
3. Add query params: key={{key}}, token={{token}}, pos=top (or a numeric value)
4. Send the request and check the Status Code (expect 200) and the updated 'pos' field</t>
  </si>
  <si>
    <t xml:space="preserve">listId=&lt;valid existing list id&gt;
key={{key}}
token={{token}}
pos=top</t>
  </si>
  <si>
    <t xml:space="preserve">Response: Status 200, pos field updated to a numeric position value (Trello converts "top"/"bottom" to a large integer)</t>
  </si>
  <si>
    <t xml:space="preserve">TC-070</t>
  </si>
  <si>
    <t xml:space="preserve">TS-040</t>
  </si>
  <si>
    <t xml:space="preserve">Update list with valid-format but non-existent ID</t>
  </si>
  <si>
    <t xml:space="preserve">1. Send PUT request to https://api.trello.com/1/lists/{listId}
2. Set listId to a well-formatted but non-existent ID
3. Add query params: key={{key}}, token={{token}}, name=&lt;new name&gt;
4. Send the request and check the Status Code (expect 404)</t>
  </si>
  <si>
    <t xml:space="preserve">listId=5f50c9d0a1b2c3d4e5f6a7b8
key={{key}}
token={{token}}
name=Updated List Name</t>
  </si>
  <si>
    <t xml:space="preserve">Request is rejected; response indicates the list was not found.</t>
  </si>
  <si>
    <t xml:space="preserve">TC-071</t>
  </si>
  <si>
    <t xml:space="preserve">Update list with malformed ID format</t>
  </si>
  <si>
    <t xml:space="preserve">1. Send PUT request to https://api.trello.com/1/lists/{listId}
2. Set listId to a badly formatted (malformed) value, e.g. "12345"
3. Add query params: key={{key}}, token={{token}}, name=&lt;new name&gt;
4. Send the request and check the Status Code (expect 400)</t>
  </si>
  <si>
    <t xml:space="preserve">listId=12345
key={{key}}
token={{token}}
name=Updated List Name</t>
  </si>
  <si>
    <t xml:space="preserve">TC-072</t>
  </si>
  <si>
    <t xml:space="preserve">TS-041</t>
  </si>
  <si>
    <t xml:space="preserve">Update list name with integer instead of string</t>
  </si>
  <si>
    <t xml:space="preserve">1. User has a valid API Key and a valid Token
2. An existing list is available
3. name field will be sent as an integer instead of string</t>
  </si>
  <si>
    <t xml:space="preserve">1. Use an existing valid list id
2. Send PUT request to https://api.trello.com/1/lists/{listId}
3. Add query params: key={{key}}, token={{token}}, name=12344 (integer instead of string)
4. Send the request and check the Status Code (expect 400)</t>
  </si>
  <si>
    <t xml:space="preserve">listId=&lt;valid existing list id&gt;
key={{key}}
token={{token}}
name=1234</t>
  </si>
  <si>
    <t xml:space="preserve">TC-073</t>
  </si>
  <si>
    <t xml:space="preserve">Update list with invalid position value</t>
  </si>
  <si>
    <t xml:space="preserve">1. User has a valid API Key and a valid Token
2. An existing list is available
3. pos value will be sent as invalid</t>
  </si>
  <si>
    <t xml:space="preserve">1. Use an existing valid list id
2. Send PUT request to https://api.trello.com/1/lists/{listId}
3. Add query params: key={{key}}, token={{token}}, pos=notANumber (invalid value)
4. Send the request and check the Status Code (expect 400)</t>
  </si>
  <si>
    <t xml:space="preserve">listId=&lt;valid existing list id&gt;
key={{key}}
token={{token}}
pos=notANumber</t>
  </si>
  <si>
    <t xml:space="preserve">Request is rejected; response indicates the pos value is invalid.</t>
  </si>
  <si>
    <t xml:space="preserve">TC-074</t>
  </si>
  <si>
    <t xml:space="preserve">Update list closed field with string instead of boolean</t>
  </si>
  <si>
    <t xml:space="preserve">1. User has a valid API Key and a valid Token
2. An existing list is available
3. closed field will be sent as a string instead of boolean</t>
  </si>
  <si>
    <t xml:space="preserve">1. Use an existing valid list id
2. Send PUT request to https://api.trello.com/1/lists/{listId}
3. Add query params: key={{key}}, token={{token}}, closed=notABoolean (string instead of boolean)
4. Send the request and check the Status Code (expect 400)</t>
  </si>
  <si>
    <t xml:space="preserve">listId=&lt;valid existing list id&gt;
key={{key}}
token={{token}}
closed=notABoolean</t>
  </si>
  <si>
    <t xml:space="preserve">TC-075</t>
  </si>
  <si>
    <t xml:space="preserve">TS-042</t>
  </si>
  <si>
    <t xml:space="preserve">GET /lists/{id}/cards</t>
  </si>
  <si>
    <t xml:space="preserve">Get cards for a list with multiple cards</t>
  </si>
  <si>
    <t xml:space="preserve">1. User has a valid API Key and a valid Token
2. An existing list with multiple cards already added is available</t>
  </si>
  <si>
    <t xml:space="preserve">1. Use an existing list with multiple cards already added
2. Send GET request to https://api.trello.com/1/lists/{listId}/cards
3. Add query params: key={{key}}, token={{token}}
4. Send the request and check the Status Code (expect 200) and that all cards are listed</t>
  </si>
  <si>
    <t xml:space="preserve">listId=&lt;list with multiple cards&gt;
key={{key}}
token={{token}}</t>
  </si>
  <si>
    <t xml:space="preserve">Response returns 200 with the list of cards belonging to the list.</t>
  </si>
  <si>
    <t xml:space="preserve">TC-076</t>
  </si>
  <si>
    <t xml:space="preserve">Get cards for an empty list</t>
  </si>
  <si>
    <t xml:space="preserve">1. User has a valid API Key and a valid Token
2. An existing list with no cards is available</t>
  </si>
  <si>
    <t xml:space="preserve">1. Use an existing list with no cards
2. Send GET request to https://api.trello.com/1/lists/{listId}/cards
3. Add query params: key={{key}}, token={{token}}
4. Send the request and check the Status Code (expect 200) and that an empty array is returned</t>
  </si>
  <si>
    <t xml:space="preserve">listId=&lt;empty list&gt;
key={{key}}
token={{token}}</t>
  </si>
  <si>
    <t xml:space="preserve">TC-077</t>
  </si>
  <si>
    <t xml:space="preserve">TS-043</t>
  </si>
  <si>
    <t xml:space="preserve">Get cards with valid-format but non-existent list ID</t>
  </si>
  <si>
    <t xml:space="preserve">1. Send GET request to https://api.trello.com/1/lists/{listId}/cards
2. Set listId to a well-formatted but non-existent ID
3. Add query params: key={{key}}, token={{token}}
4. Send the request and check the Status Code (expect 404)</t>
  </si>
  <si>
    <t xml:space="preserve">TC-078</t>
  </si>
  <si>
    <t xml:space="preserve">TS-044</t>
  </si>
  <si>
    <t xml:space="preserve">Get cards with empty token</t>
  </si>
  <si>
    <t xml:space="preserve">1. Use an existing valid list id
2. Send GET request to https://api.trello.com/1/lists/{listId}/cards
3. Add query params: key={{key}}, token= (empty string)
4. Send the request and check the Status Code (expect 401)</t>
  </si>
  <si>
    <t xml:space="preserve">TC-079</t>
  </si>
  <si>
    <t xml:space="preserve">TS-045</t>
  </si>
  <si>
    <t xml:space="preserve">GET /lists/{id}/actions</t>
  </si>
  <si>
    <t xml:space="preserve">Get all actions for a list with activity history</t>
  </si>
  <si>
    <t xml:space="preserve">1. User has a valid API Key and a valid Token
2. An existing list with prior activity is available</t>
  </si>
  <si>
    <t xml:space="preserve">1. Use an existing list with prior activity
2. Send GET request to https://api.trello.com/1/lists/{listId}/actions
3. Add query params: key={{key}}, token={{token}}
4. Send the request and check the Status Code (expect 200) and that the action history is returned</t>
  </si>
  <si>
    <t xml:space="preserve">listId=&lt;list with prior activity&gt;
key={{key}}
token={{token}}</t>
  </si>
  <si>
    <t xml:space="preserve">Response returns 200 with the list of actions performed on the list.</t>
  </si>
  <si>
    <t xml:space="preserve">TC-080</t>
  </si>
  <si>
    <t xml:space="preserve">TS-046</t>
  </si>
  <si>
    <t xml:space="preserve">Get actions with valid-format but non-existent list ID</t>
  </si>
  <si>
    <t xml:space="preserve">1. Send GET request to https://api.trello.com/1/lists/{listId}/actions
2. Set listId to a well-formatted but non-existent ID
3. Add query params: key={{key}}, token={{token}}
4. Send the request and check the Status Code (expect 404)</t>
  </si>
  <si>
    <t xml:space="preserve">TC-081</t>
  </si>
  <si>
    <t xml:space="preserve">TS-047</t>
  </si>
  <si>
    <t xml:space="preserve">1. User has a valid API Key and a valid Token
2. An existing list is available
3. limit parameter will be sent as a negative number</t>
  </si>
  <si>
    <t xml:space="preserve">1. Use an existing valid list id
2. Send GET request to https://api.trello.com/1/lists/{listId}/actions
3. Add query params: key={{key}}, token={{token}}, limit=-5
4. Send the request and check the Status Code (expect 400)</t>
  </si>
  <si>
    <t xml:space="preserve">listId=&lt;valid existing list id&gt;
key={{key}}
token={{token}}
limit=-5</t>
  </si>
  <si>
    <t xml:space="preserve">Request is rejected; response indicates limit must be a positive number.</t>
  </si>
  <si>
    <t xml:space="preserve">TC-082</t>
  </si>
  <si>
    <t xml:space="preserve">TS-048</t>
  </si>
  <si>
    <t xml:space="preserve">1. Use an existing valid list id
2. Send GET request to https://api.trello.com/1/lists/{listId}/actions
3. Add query params: key={{key}} (do NOT add token param at all)
4. Send the request and check the Status Code (expect 401)</t>
  </si>
  <si>
    <t xml:space="preserve">TC-083</t>
  </si>
  <si>
    <t xml:space="preserve">TS-049</t>
  </si>
  <si>
    <t xml:space="preserve">PUT /lists/{id}/closed</t>
  </si>
  <si>
    <t xml:space="preserve">Archive an active list</t>
  </si>
  <si>
    <t xml:space="preserve">1. User has a valid API Key and a valid Token
2. An existing active list is available</t>
  </si>
  <si>
    <t xml:space="preserve">1. Use an existing active (non-archived) list
2. Send PUT request to https://api.trello.com/1/lists/{listId}/closed
3. Add query params: key={{key}}, token={{token}}, value=true
4. Send the request and check the Status Code (expect 200) and that 'closed' is true</t>
  </si>
  <si>
    <t xml:space="preserve">listId=&lt;active list&gt;
key={{key}}
token={{token}}
value=true</t>
  </si>
  <si>
    <t xml:space="preserve">List's closed state is updated successfully; response reflects the new value.</t>
  </si>
  <si>
    <t xml:space="preserve">TC-084</t>
  </si>
  <si>
    <t xml:space="preserve">Archive an already archived list (idempotency check)</t>
  </si>
  <si>
    <t xml:space="preserve">1. User has a valid API Key and a valid Token
2. An existing list is already archived and the archive request will be repeated</t>
  </si>
  <si>
    <t xml:space="preserve">1. Use an existing list that is already archived
2. Send PUT request to https://api.trello.com/1/lists/{listId}/closed
3. Add query params: key={{key}}, token={{token}}, value=true
4. Send the request again and check the Status Code (expect 200) and that the list remains archived</t>
  </si>
  <si>
    <t xml:space="preserve">listId=&lt;already archived list&gt;
key={{key}}
token={{token}}
value=true</t>
  </si>
  <si>
    <t xml:space="preserve">Request succeeds; archiving an already-archived list is idempotent and returns closed=true.</t>
  </si>
  <si>
    <t xml:space="preserve">TC-085</t>
  </si>
  <si>
    <t xml:space="preserve">TS-050</t>
  </si>
  <si>
    <t xml:space="preserve">Unarchive a previously archived list</t>
  </si>
  <si>
    <t xml:space="preserve">1. User has a valid API Key and a valid Token
2. An existing archived list is available</t>
  </si>
  <si>
    <t xml:space="preserve">1. Use an existing archived list
2. Send PUT request to https://api.trello.com/1/lists/{listId}/closed
3. Add query params: key={{key}}, token={{token}}, value=false
4. Send the request and check the Status Code (expect 200) and that 'closed' is false</t>
  </si>
  <si>
    <t xml:space="preserve">listId=&lt;archived list&gt;
key={{key}}
token={{token}}
value=false</t>
  </si>
  <si>
    <t xml:space="preserve">TC-086</t>
  </si>
  <si>
    <t xml:space="preserve">TS-051</t>
  </si>
  <si>
    <t xml:space="preserve">Archive list with valid-format but non-existent ID</t>
  </si>
  <si>
    <t xml:space="preserve">1. Send PUT request to https://api.trello.com/1/lists/{listId}/closed
2. Set listId to a well-formatted but non-existent ID
3. Add query params: key={{key}}, token={{token}}, value=true
4. Send the request and check the Status Code (expect 404)</t>
  </si>
  <si>
    <t xml:space="preserve">listId=5f50c9d0a1b2c3d4e5f6a7b8
key={{key}}
token={{token}}
value=true</t>
  </si>
  <si>
    <t xml:space="preserve">TC-087</t>
  </si>
  <si>
    <t xml:space="preserve">Archive list with closed field as string instead of boolean</t>
  </si>
  <si>
    <t xml:space="preserve">1. Use an existing valid list id
2. Send PUT request to https://api.trello.com/1/lists/{listId}/closed
3. Add query params: key={{key}}, token={{token}}, value=notABoolean (string instead of boolean)
4. Send the request and check the Status Code (expect 400)</t>
  </si>
  <si>
    <t xml:space="preserve">listId=&lt;valid existing list id&gt;
key={{key}}
token={{token}}
value=notABoolean</t>
  </si>
  <si>
    <t xml:space="preserve">TC-088</t>
  </si>
  <si>
    <t xml:space="preserve">TS-052</t>
  </si>
  <si>
    <t xml:space="preserve">Card</t>
  </si>
  <si>
    <t xml:space="preserve">POST /cards</t>
  </si>
  <si>
    <t xml:space="preserve">Create card with valid name and description</t>
  </si>
  <si>
    <t xml:space="preserve">1. User has a valid API Key and a valid Token
2. An existing list is available
3. A valid card name and description are prepared</t>
  </si>
  <si>
    <t xml:space="preserve">1. Send POST request to https://api.trello.com/1/cards
2. Add query params: key={{key}}, token={{token}}, idList=&lt;existing list id&gt;, name=&lt;valid card name&gt;, desc=&lt;valid description&gt;
3. Send the request
4. Check the Status Code and that the response contains the description</t>
  </si>
  <si>
    <t xml:space="preserve">key={{key}}
token={{token}}
idList=&lt;existing list id&gt;
name=QA Test Card
desc=Card created for QA regression testing</t>
  </si>
  <si>
    <t xml:space="preserve">Card is created successfully; response contains the new card's id, name, and idList.</t>
  </si>
  <si>
    <t xml:space="preserve">TC-089</t>
  </si>
  <si>
    <t xml:space="preserve">TS-053</t>
  </si>
  <si>
    <t xml:space="preserve">Create card without name field</t>
  </si>
  <si>
    <t xml:space="preserve">1. User has a valid API Key and a valid Token
2. An existing list is available
3. name field will be omitted from the request</t>
  </si>
  <si>
    <t xml:space="preserve">1. Send POST request to https://api.trello.com/1/cards
2. Add query params: key={{key}}, token={{token}}, idList=&lt;existing list id&gt; (do NOT add name param)
3. Send the request
4. Check the Status Code and the response body/error message</t>
  </si>
  <si>
    <t xml:space="preserve">key={{key}}
token={{token}}
idList=&lt;existing list id&gt;
(name param omitted)</t>
  </si>
  <si>
    <t xml:space="preserve">Card is created successfully,name field in response is empty string</t>
  </si>
  <si>
    <t xml:space="preserve">TC-090</t>
  </si>
  <si>
    <t xml:space="preserve">Create card without list ID (idList)</t>
  </si>
  <si>
    <t xml:space="preserve">1. User has a valid API Key and a valid Token
2. idList field will be omitted from the request</t>
  </si>
  <si>
    <t xml:space="preserve">1. Send POST request to https://api.trello.com/1/cards
2. Add query params: key={{key}}, token={{token}}, name=&lt;valid card name&gt; (do NOT add idList param)
3. Send the request
4. Check the Status Code and the response body/error message</t>
  </si>
  <si>
    <t xml:space="preserve">key={{key}}
token={{token}}
name=QA Test Card
(idList param omitted)</t>
  </si>
  <si>
    <t xml:space="preserve">Request is rejected; response indicates the required field is missing.</t>
  </si>
  <si>
    <t xml:space="preserve">TC-091</t>
  </si>
  <si>
    <t xml:space="preserve">TS-054</t>
  </si>
  <si>
    <t xml:space="preserve">Create card without token</t>
  </si>
  <si>
    <t xml:space="preserve">1. An existing list is available
2. Request will be sent with no Token field included</t>
  </si>
  <si>
    <t xml:space="preserve">1. Send POST request to https://api.trello.com/1/cards
2. Add query params: key={{key}}, idList=&lt;existing list id&gt;, name=&lt;valid card name&gt; (do NOT add token param)
3. Send the request
4. Check the Status Code (expect 401) and the response body/error message</t>
  </si>
  <si>
    <t xml:space="preserve">key={{key}}
idList=&lt;existing list id&gt;
name=QA Test Card
(token param omitted)</t>
  </si>
  <si>
    <t xml:space="preserve">TC-092</t>
  </si>
  <si>
    <t xml:space="preserve">TS-055</t>
  </si>
  <si>
    <t xml:space="preserve">GET /cards/{id}</t>
  </si>
  <si>
    <t xml:space="preserve">Get card by valid ID</t>
  </si>
  <si>
    <t xml:space="preserve">1. User has a valid API Key and a valid Token
2. A card was successfully created and its ID is known</t>
  </si>
  <si>
    <t xml:space="preserve">1. Create a card first (POST /cards) and note its returned id
2. Send GET request to https://api.trello.com/1/cards/{cardId}
3. Add query params: key={{key}}, token={{token}}
4. Send the request and check the Status Code (expect 200)</t>
  </si>
  <si>
    <t xml:space="preserve">cardId=&lt;ID returned from card creation&gt;
key={{key}}
token={{token}}</t>
  </si>
  <si>
    <t xml:space="preserve">Response returns 200 with the card object (id, name, desc, idList, idBoard).</t>
  </si>
  <si>
    <t xml:space="preserve">TC-093</t>
  </si>
  <si>
    <t xml:space="preserve">TS-056</t>
  </si>
  <si>
    <t xml:space="preserve">Get card with malformed ID format</t>
  </si>
  <si>
    <t xml:space="preserve">1. User has a valid API Key and a valid Token
2. A badly formatted (malformed) card ID is used</t>
  </si>
  <si>
    <t xml:space="preserve">1. Send GET request to https://api.trello.com/1/cards/{cardId}
2. Set cardId to a badly formatted (malformed) value, e.g. "12345"
3. Add query params: key={{key}}, token={{token}}
4. Send the request and check the Status Code (expect 400)</t>
  </si>
  <si>
    <t xml:space="preserve">cardId=12345
key={{key}}
token={{token}}</t>
  </si>
  <si>
    <t xml:space="preserve">TC-094</t>
  </si>
  <si>
    <t xml:space="preserve">TS-057</t>
  </si>
  <si>
    <t xml:space="preserve">Get card without token</t>
  </si>
  <si>
    <t xml:space="preserve">1. An existing card ID is known
2. Request will be sent with no Token field included</t>
  </si>
  <si>
    <t xml:space="preserve">1. Use an existing valid card id
2. Send GET request to https://api.trello.com/1/cards/{cardId}
3. Add query params: key={{key}} (do NOT add token param at all)
4. Send the request and check the Status Code (expect 401)</t>
  </si>
  <si>
    <t xml:space="preserve">cardId=&lt;valid existing card id&gt;
key={{key}}
(token param omitted)</t>
  </si>
  <si>
    <t xml:space="preserve">TC-095</t>
  </si>
  <si>
    <t xml:space="preserve">TS-058</t>
  </si>
  <si>
    <t xml:space="preserve">Get card with invalid "fields" parameter value</t>
  </si>
  <si>
    <t xml:space="preserve">1. User has a valid API Key and a valid Token
2. An existing card is available
3. fields parameter will be sent with an invalid value</t>
  </si>
  <si>
    <t xml:space="preserve">1. Use an existing valid card id
2. Send GET request to https://api.trello.com/1/cards/{cardId}
3. Add query params: key={{key}}, token={{token}}, fields=notARealField
4. Send the request and check the Status Code (expect 400)</t>
  </si>
  <si>
    <t xml:space="preserve">cardId=&lt;valid existing card id&gt;
key={{key}}
token={{token}}
fields=notARealField</t>
  </si>
  <si>
    <t xml:space="preserve">Request is rejected; response indicates the parameter value is not supported.</t>
  </si>
  <si>
    <t xml:space="preserve">The server returned 200 OK and silently ignored the invalid "fields" value, responding with just {"id": "..."} and no rejection or warning.</t>
  </si>
  <si>
    <t xml:space="preserve">Failed</t>
  </si>
  <si>
    <t xml:space="preserve">BUG-001</t>
  </si>
  <si>
    <t xml:space="preserve">TC-096</t>
  </si>
  <si>
    <t xml:space="preserve">Get card with invalid "actions" parameter value</t>
  </si>
  <si>
    <t xml:space="preserve">1. User has a valid API Key and a valid Token
2. An existing card is available
3. actions parameter will be sent with an invalid value</t>
  </si>
  <si>
    <t xml:space="preserve">1. Use an existing valid card id
2. Send GET request to https://api.trello.com/1/cards/{cardId}
3. Add query params: key={{key}}, token={{token}}, actions=notARealAction
4. Send the request and check the Status Code (expect 400)</t>
  </si>
  <si>
    <t xml:space="preserve">cardId=&lt;valid existing card id&gt;
key={{key}}
token={{token}}
actions=notARealAction</t>
  </si>
  <si>
    <t xml:space="preserve">Request returns 200 OK (247 ms) and the card object is returned normally. The invalid actions value is silently ignored with no validation error and no actions data included in the response.</t>
  </si>
  <si>
    <t xml:space="preserve">BUG-002</t>
  </si>
  <si>
    <t xml:space="preserve">TC-097</t>
  </si>
  <si>
    <t xml:space="preserve">Get card with unsupported/unknown query parameter</t>
  </si>
  <si>
    <t xml:space="preserve">Validation / Positive</t>
  </si>
  <si>
    <t xml:space="preserve">1. User has a valid API Key and a valid Token
2. An existing card is available
3. An unsupported/unknown query parameter will be added</t>
  </si>
  <si>
    <t xml:space="preserve">1. Use an existing valid card id
2. Send GET request to https://api.trello.com/1/cards/{cardId}
3. Add query params: key={{key}}, token={{token}}, notARealParam=someValue
4. Send the request and check the Status Code (expect 200, unsupported params are ignored)</t>
  </si>
  <si>
    <t xml:space="preserve">cardId=&lt;valid existing card id&gt;
key={{key}}
token={{token}}
notARealParam=someValue</t>
  </si>
  <si>
    <t xml:space="preserve">Trello ignores unrecognized query parameters; the request succeeds as if the parameter were absent.</t>
  </si>
  <si>
    <t xml:space="preserve">TC-098</t>
  </si>
  <si>
    <t xml:space="preserve">TS-059</t>
  </si>
  <si>
    <t xml:space="preserve">PUT /cards/{id}</t>
  </si>
  <si>
    <t xml:space="preserve">Update card name</t>
  </si>
  <si>
    <t xml:space="preserve">1. User has a valid API Key and a valid Token
2. An existing card is available
3. A new valid name is prepared</t>
  </si>
  <si>
    <t xml:space="preserve">1. Use an existing valid card id
2. Send PUT request to https://api.trello.com/1/cards/{cardId}
3. Add query params: key={{key}}, token={{token}}, name=&lt;new valid name&gt;
4. Send the request and check the Status Code (expect 200) and the updated 'name' field</t>
  </si>
  <si>
    <t xml:space="preserve">cardId=&lt;valid existing card id&gt;
key={{key}}
token={{token}}
name=Updated Card Name</t>
  </si>
  <si>
    <t xml:space="preserve">Card is updated successfully; response reflects the new field value(s).</t>
  </si>
  <si>
    <t xml:space="preserve">TC-099</t>
  </si>
  <si>
    <t xml:space="preserve">Update card description</t>
  </si>
  <si>
    <t xml:space="preserve">1. User has a valid API Key and a valid Token
2. An existing card is available
3. A new valid description is prepared</t>
  </si>
  <si>
    <t xml:space="preserve">1. Use an existing valid card id
2. Send PUT request to https://api.trello.com/1/cards/{cardId}
3. Add query params: key={{key}}, token={{token}}, desc=&lt;new valid description&gt;
4. Send the request and check the Status Code (expect 200) and the updated 'desc' field</t>
  </si>
  <si>
    <t xml:space="preserve">cardId=&lt;valid existing card id&gt;
key={{key}}
token={{token}}
desc=Updated card description</t>
  </si>
  <si>
    <t xml:space="preserve">TC-100</t>
  </si>
  <si>
    <t xml:space="preserve">TS-060</t>
  </si>
  <si>
    <t xml:space="preserve">Update card with malformed ID format</t>
  </si>
  <si>
    <t xml:space="preserve">1. Send PUT request to https://api.trello.com/1/cards/{cardId}
2. Set cardId to a badly formatted (malformed) value
3. Add query params: key={{key}}, token={{token}}, name=&lt;new name&gt;
4. Send the request and check the Status Code (expect 400)</t>
  </si>
  <si>
    <t xml:space="preserve">cardId=12345
key={{key}}
token={{token}}
name=Updated Card Name</t>
  </si>
  <si>
    <t xml:space="preserve">TC-101</t>
  </si>
  <si>
    <t xml:space="preserve">TS-061</t>
  </si>
  <si>
    <t xml:space="preserve">Update card name with integer instead of string</t>
  </si>
  <si>
    <t xml:space="preserve">1. User has a valid API Key and a valid Token
2. An existing card is available
3. name field will be sent as an integer instead of string</t>
  </si>
  <si>
    <t xml:space="preserve">1. Use an existing valid card id
2. Send PUT request to https://api.trello.com/1/cards/{cardId}
3. Add query params: key={{key}}, token={{token}}, name=12345 (integer instead of string)
4. Send the request and check the Status Code (expect 400)</t>
  </si>
  <si>
    <t xml:space="preserve">cardId=&lt;valid existing card id&gt;
key={{key}}
token={{token}}
name=12345</t>
  </si>
  <si>
    <t xml:space="preserve">TC-102</t>
  </si>
  <si>
    <t xml:space="preserve">Update card due date with invalid date format</t>
  </si>
  <si>
    <t xml:space="preserve">1. User has a valid API Key and a valid Token
2. An existing card is available
3. due field will be sent in an invalid date format</t>
  </si>
  <si>
    <t xml:space="preserve">1. Use an existing valid card id
2. Send PUT request to https://api.trello.com/1/cards/{cardId}
3. Add query params: key={{key}}, token={{token}}, due=not-a-date
4. Send the request and check the Status Code (expect 400)</t>
  </si>
  <si>
    <t xml:space="preserve">cardId=&lt;valid existing card id&gt;
key={{key}}
token={{token}}
due=not-a-date</t>
  </si>
  <si>
    <t xml:space="preserve">Request is rejected; response indicates the date value is not a valid ISO 8601 date.</t>
  </si>
  <si>
    <t xml:space="preserve">TC-103</t>
  </si>
  <si>
    <t xml:space="preserve">Update card closed field with string instead of boolean</t>
  </si>
  <si>
    <t xml:space="preserve">1. User has a valid API Key and a valid Token
2. An existing card is available
3. closed field will be sent as a string instead of boolean</t>
  </si>
  <si>
    <t xml:space="preserve">1. Use an existing valid card id
2. Send PUT request to https://api.trello.com/1/cards/{cardId}
3. Add query params: key={{key}}, token={{token}}, closed=notABoolean (string instead of boolean)
4. Send the request and check the Status Code (expect 400)</t>
  </si>
  <si>
    <t xml:space="preserve">cardId=&lt;valid existing card id&gt;
key={{key}}
token={{token}}
closed=notABoolean</t>
  </si>
  <si>
    <t xml:space="preserve">TC-104</t>
  </si>
  <si>
    <t xml:space="preserve">TS-062</t>
  </si>
  <si>
    <t xml:space="preserve">Archive an active card</t>
  </si>
  <si>
    <t xml:space="preserve">1. User has a valid API Key and a valid Token
2. An existing active card is available</t>
  </si>
  <si>
    <t xml:space="preserve">1. Use an existing active card
2. Send PUT request to https://api.trello.com/1/cards/{cardId}
3. Add query params: key={{key}}, token={{token}}, closed=true
4. Send the request and check the Status Code (expect 200) and that 'closed' is true</t>
  </si>
  <si>
    <t xml:space="preserve">cardId=&lt;active card&gt;
key={{key}}
token={{token}}
closed=true</t>
  </si>
  <si>
    <t xml:space="preserve">TC-105</t>
  </si>
  <si>
    <t xml:space="preserve">TS-063</t>
  </si>
  <si>
    <t xml:space="preserve">POST /cards/{id}/idMembers</t>
  </si>
  <si>
    <t xml:space="preserve">Add a valid member to card</t>
  </si>
  <si>
    <t xml:space="preserve">1. User has a valid API Key and a valid Token
2. An existing card and an existing member are available</t>
  </si>
  <si>
    <t xml:space="preserve">1. Use an existing valid card id and an existing member id
2. Send POST request to https://api.trello.com/1/cards/{cardId}/idMembers
3. Add query params: key={{key}}, token={{token}}, value=&lt;valid member id&gt;
4. Send the request and check the Status Code (expect 200) and that the member is added</t>
  </si>
  <si>
    <t xml:space="preserve">cardId=&lt;valid existing card id&gt;
key={{key}}
token={{token}}
value=&lt;valid existing member id&gt;</t>
  </si>
  <si>
    <t xml:space="preserve">Member is added to the card successfully; response contains the updated member list.</t>
  </si>
  <si>
    <t xml:space="preserve">TC-106</t>
  </si>
  <si>
    <t xml:space="preserve">TS-064</t>
  </si>
  <si>
    <t xml:space="preserve">GET /cards/{id}/members</t>
  </si>
  <si>
    <t xml:space="preserve">Get members list </t>
  </si>
  <si>
    <t xml:space="preserve">1. User has a valid API Key and a valid Token
2. An existing card with no members added is available</t>
  </si>
  <si>
    <t xml:space="preserve">1. Use an existing card with no members
2. Send GET request to https://api.trello.com/1/cards/{cardId}/members
3. Add query params: key={{key}}, token={{token}}
4. Send the request and check the Status Code (expect 200) and that an empty array is returned</t>
  </si>
  <si>
    <t xml:space="preserve">cardId=&lt;card with no members&gt;
key={{key}}
token={{token}}</t>
  </si>
  <si>
    <t xml:space="preserve">Response returns 200 with the list of members assigned to the card.</t>
  </si>
  <si>
    <t xml:space="preserve">TC-107</t>
  </si>
  <si>
    <t xml:space="preserve">TS-065</t>
  </si>
  <si>
    <t xml:space="preserve">DELETE /cards/{id}/idMembers/{idMember}</t>
  </si>
  <si>
    <t xml:space="preserve">Remove a member from card</t>
  </si>
  <si>
    <t xml:space="preserve">1. User has a valid API Key and a valid Token
2. An existing card with a member already added is available</t>
  </si>
  <si>
    <t xml:space="preserve">1. Use an existing card with a member already added
2. Send DELETE request to https://api.trello.com/1/cards/{cardId}/idMembers/{idMember}
3. Add query params: key={{key}}, token={{token}}
4. Send the request and check the Status Code (expect 200)</t>
  </si>
  <si>
    <t xml:space="preserve">cardId=&lt;valid existing card id&gt;
idMember=&lt;member to remove&gt;
key={{key}}
token={{token}}</t>
  </si>
  <si>
    <t xml:space="preserve">Member is removed from the card successfully.</t>
  </si>
  <si>
    <t xml:space="preserve">TC-108</t>
  </si>
  <si>
    <t xml:space="preserve">TS-066</t>
  </si>
  <si>
    <t xml:space="preserve">GET /cards/{id}/actions</t>
  </si>
  <si>
    <t xml:space="preserve">Get all actions for a card with activity history</t>
  </si>
  <si>
    <t xml:space="preserve">1. User has a valid API Key and a valid Token
2. An existing card with prior activity is available</t>
  </si>
  <si>
    <t xml:space="preserve">1. Use an existing card with prior activity
2. Send GET request to https://api.trello.com/1/cards/{cardId}/actions
3. Add query params: key={{key}}, token={{token}}, filter = all
4. Send the request and check the Status Code (expect 200) and that the action history is returned</t>
  </si>
  <si>
    <t xml:space="preserve">cardId=&lt;card with prior activity&gt;
key={{key}}
token={{token}}  filter = all</t>
  </si>
  <si>
    <t xml:space="preserve">TC-109</t>
  </si>
  <si>
    <t xml:space="preserve">TS-067</t>
  </si>
  <si>
    <t xml:space="preserve">Checklist</t>
  </si>
  <si>
    <t xml:space="preserve">POST /checklists </t>
  </si>
  <si>
    <t xml:space="preserve">Create checklist with valid name on a card</t>
  </si>
  <si>
    <t xml:space="preserve">1. User has a valid API Key and a valid Token
2. An existing card is available
3. A valid checklist name is prepared</t>
  </si>
  <si>
    <t xml:space="preserve">1. Send POST request to https://api.trello.com/1/checklists
2. Add query params: key={{key}}, token={{token}}, idCard=&lt;existing card id&gt;, name=&lt;valid checklist name&gt;
3. Send the request
4. Check the Status Code and the response body</t>
  </si>
  <si>
    <t xml:space="preserve">key={{key}}
token={{token}}
idCard=&lt;existing card id&gt;
name=QA Checklist</t>
  </si>
  <si>
    <t xml:space="preserve">Checklist is created successfully; response contains the new checklist's id and name.</t>
  </si>
  <si>
    <t xml:space="preserve">TC-110</t>
  </si>
  <si>
    <t xml:space="preserve">Create checklist with default name (no name provided)</t>
  </si>
  <si>
    <t xml:space="preserve">1. User has a valid API Key and a valid Token
2. An existing card is available
3. name field will be omitted from the request</t>
  </si>
  <si>
    <t xml:space="preserve">1. Send POST request to https://api.trello.com/1/checklists
2. Add query params: key={{key}}, token={{token}}, idCard=&lt;existing card id&gt; (do NOT add name param)
3. Send the request
4. Check the Status Code (expect 200) and that a default name (e.g. "Checklist") is assigned</t>
  </si>
  <si>
    <t xml:space="preserve">key={{key}}
token={{token}}
idCard=&lt;existing card id&gt;
(name param omitted)</t>
  </si>
  <si>
    <t xml:space="preserve">TC-111</t>
  </si>
  <si>
    <t xml:space="preserve">TS-068</t>
  </si>
  <si>
    <t xml:space="preserve">Create checklist without card ID (idCard)</t>
  </si>
  <si>
    <t xml:space="preserve">1. User has a valid API Key and a valid Token
2. idCard field will be omitted from the request</t>
  </si>
  <si>
    <t xml:space="preserve">1. Send POST request to https://api.trello.com/1/checklists
2. Add query params: key={{key}}, token={{token}}, name=&lt;valid name&gt; (do NOT add idCard param)
3. Send the request
4. Check the Status Code and the response body/error message</t>
  </si>
  <si>
    <t xml:space="preserve">key={{key}}
token={{token}}
name=QA Checklist
(idCard param omitted)</t>
  </si>
  <si>
    <t xml:space="preserve">TC-112</t>
  </si>
  <si>
    <t xml:space="preserve">TS-069</t>
  </si>
  <si>
    <t xml:space="preserve">GET /checklists/{id}</t>
  </si>
  <si>
    <t xml:space="preserve">Get all checklists for a card</t>
  </si>
  <si>
    <t xml:space="preserve">1. User has a valid API Key and a valid Token
2. An existing card with multiple checklists already added is available</t>
  </si>
  <si>
    <t xml:space="preserve">1. Use an existing card with one or more checklists already added
2. Send GET request to https://api.trello.com/1/cards/{cardId}/checklists
3. Add query params: key={{key}}, token={{token}}
4. Send the request and check the Status Code (expect 200) and that all checklists are listed</t>
  </si>
  <si>
    <t xml:space="preserve">cardId=&lt;card with checklists&gt;
key={{key}}
token={{token}}</t>
  </si>
  <si>
    <t xml:space="preserve">Response returns 200 with the checklist object (id, name, idCard, checkItems).</t>
  </si>
  <si>
    <t xml:space="preserve">TC-113</t>
  </si>
  <si>
    <t xml:space="preserve">TS-070</t>
  </si>
  <si>
    <t xml:space="preserve">PUT /checklists/{id}</t>
  </si>
  <si>
    <t xml:space="preserve">Update checklist name</t>
  </si>
  <si>
    <t xml:space="preserve">1. User has a valid API Key and a valid Token
2. An existing checklist is available
3. A new valid name is prepared</t>
  </si>
  <si>
    <t xml:space="preserve">1. Use an existing valid checklist id
2. Send PUT request to https://api.trello.com/1/checklists/{checklistId}
3. Add query params: key={{key}}, token={{token}}, name=&lt;new valid name&gt;
4. Send the request and check the Status Code (expect 200) and the updated 'name' field</t>
  </si>
  <si>
    <t xml:space="preserve">checklistId=&lt;valid existing checklist id&gt;
key={{key}}
token={{token}}
name=Updated Checklist Name</t>
  </si>
  <si>
    <t xml:space="preserve">Checklist is updated successfully; response reflects the new field value(s).</t>
  </si>
  <si>
    <t xml:space="preserve">TC-114</t>
  </si>
  <si>
    <t xml:space="preserve">TS-071</t>
  </si>
  <si>
    <t xml:space="preserve">Update checklist with invalid position value</t>
  </si>
  <si>
    <t xml:space="preserve">1. User has a valid API Key and a valid Token
2. An existing checklist is available
3. pos value will be sent as invalid</t>
  </si>
  <si>
    <t xml:space="preserve">1. Use an existing valid checklist id
2. Send PUT request to https://api.trello.com/1/checklists/{checklistId}
3. Add query params: key={{key}}, token={{token}}, pos=notANumber (invalid value)
4. Send the request and check the Status Code (expect 400)</t>
  </si>
  <si>
    <t xml:space="preserve">checklistId=&lt;valid existing checklist id&gt;
key={{key}}
token={{token}}
pos=notANumber</t>
  </si>
  <si>
    <t xml:space="preserve">TC-115</t>
  </si>
  <si>
    <t xml:space="preserve">TS-072</t>
  </si>
  <si>
    <t xml:space="preserve">POST /checklists/{id}/checkItems</t>
  </si>
  <si>
    <t xml:space="preserve">Create checkitem with valid name on a checklist</t>
  </si>
  <si>
    <t xml:space="preserve">1. User has a valid API Key and a valid Token
2. An existing checklist is available
3. A valid checkitem name is prepared</t>
  </si>
  <si>
    <t xml:space="preserve">1. Use an existing valid checklist id
2. Send POST request to https://api.trello.com/1/checklists/{checklistId}/checkItems
3. Add query params: key={{key}}, token={{token}}, name=&lt;valid checkitem name&gt;
4. Send the request and check the Status Code (expect 200) and the response body</t>
  </si>
  <si>
    <t xml:space="preserve">checklistId=&lt;valid existing checklist id&gt;
key={{key}}
token={{token}}
name=QA Check Item</t>
  </si>
  <si>
    <t xml:space="preserve">Checkitem is created successfully; response contains the new checkitem's id and name.</t>
  </si>
  <si>
    <t xml:space="preserve">TC-116</t>
  </si>
  <si>
    <t xml:space="preserve">TS-073</t>
  </si>
  <si>
    <t xml:space="preserve">GET /checklists/{id}/checkItems</t>
  </si>
  <si>
    <t xml:space="preserve">Get checkitems for a checklist with no items</t>
  </si>
  <si>
    <t xml:space="preserve">1. User has a valid API Key and a valid Token
2. An existing checklist with no checkitems is available</t>
  </si>
  <si>
    <t xml:space="preserve">1. Use an existing checklist with no checkitems
2. Send GET request to https://api.trello.com/1/checklists/{checklistId}/checkItems
3. Add query params: key={{key}}, token={{token}}
4. Send the request and check the Status Code (expect 200) and that an empty array is returned</t>
  </si>
  <si>
    <t xml:space="preserve">checklistId=&lt;checklist with no checkitems&gt;
key={{key}}
token={{token}}</t>
  </si>
  <si>
    <t xml:space="preserve">Response returns 200 with the list of checkitems on the checklist.</t>
  </si>
  <si>
    <t xml:space="preserve">TC-117</t>
  </si>
  <si>
    <t xml:space="preserve">TS-074</t>
  </si>
  <si>
    <t xml:space="preserve">DELETE /checklists/{id}/checkItems/{idCheckItem}</t>
  </si>
  <si>
    <t xml:space="preserve">Delete a checkitem from a checklist</t>
  </si>
  <si>
    <t xml:space="preserve">1. User has a valid API Key and a valid Token
2. An existing checklist with a checkitem already added is available</t>
  </si>
  <si>
    <t xml:space="preserve">1. Use an existing checklist with a checkitem already added
2. Send DELETE request to https://api.trello.com/1/checklists/{checklistId}/checkItems/{idCheckItem}
3. Add query params: key={{key}}, token={{token}}
4. Send the request and check the Status Code (expect 200)</t>
  </si>
  <si>
    <t xml:space="preserve">checklistId=&lt;valid existing checklist id&gt;
idCheckItem=&lt;checkitem to delete&gt;
key={{key}}
token={{token}}</t>
  </si>
  <si>
    <t xml:space="preserve">Checkitem is deleted from the checklist successfully.</t>
  </si>
  <si>
    <t xml:space="preserve">TC-118</t>
  </si>
  <si>
    <t xml:space="preserve">TS-075</t>
  </si>
  <si>
    <t xml:space="preserve">DELETE /checklists/{id}</t>
  </si>
  <si>
    <t xml:space="preserve">Delete a checklist with multiple checkitems</t>
  </si>
  <si>
    <t xml:space="preserve">1. User has a valid API Key and a valid Token
2. An existing checklist with multiple checkitems already added is available</t>
  </si>
  <si>
    <t xml:space="preserve">1. Use an existing checklist with multiple checkitems already added
2. Send DELETE request to https://api.trello.com/1/checklists/{checklistId}
3. Add query params: key={{key}}, token={{token}}
4. Send the request and check the Status Code (expect 200)</t>
  </si>
  <si>
    <t xml:space="preserve">checklistId=&lt;checklist with multiple checkitems&gt;
key={{key}}
token={{token}}</t>
  </si>
  <si>
    <t xml:space="preserve">Checklist is deleted successfully.</t>
  </si>
  <si>
    <t xml:space="preserve">TC-119</t>
  </si>
  <si>
    <t xml:space="preserve">TS-076</t>
  </si>
  <si>
    <t xml:space="preserve">Label</t>
  </si>
  <si>
    <t xml:space="preserve">POST /labels</t>
  </si>
  <si>
    <t xml:space="preserve">Create label with valid name and color</t>
  </si>
  <si>
    <t xml:space="preserve">1. User has a valid API Key and a valid Token
2. An existing board is available
3. A valid label name and color are prepared</t>
  </si>
  <si>
    <t xml:space="preserve">1. Send POST request to https://api.trello.com/1/labels
2. Add query params: key={{key}}, token={{token}}, idBoard=&lt;existing board id&gt;, name=&lt;valid label name&gt;, color=green
3. Send the request
4. Check the Status Code and the response body</t>
  </si>
  <si>
    <t xml:space="preserve">key={{key}}
token={{token}}
idBoard=&lt;existing board id&gt;
name=QA Label
color=green</t>
  </si>
  <si>
    <t xml:space="preserve">Label is created successfully; response contains the new label's id, name, and color.</t>
  </si>
  <si>
    <t xml:space="preserve">TC-120</t>
  </si>
  <si>
    <t xml:space="preserve">TS-077</t>
  </si>
  <si>
    <t xml:space="preserve">GET /labels/{id}</t>
  </si>
  <si>
    <t xml:space="preserve">Get label by valid ID</t>
  </si>
  <si>
    <t xml:space="preserve">1. User has a valid API Key and a valid Token
2. A label was successfully created and its ID is known</t>
  </si>
  <si>
    <t xml:space="preserve">1. Create a label first (POST /labels) and note its returned id
2. Send GET request to https://api.trello.com/1/labels/{labelId}
3. Add query params: key={{key}}, token={{token}}
4. Send the request and check the Status Code (expect 200)</t>
  </si>
  <si>
    <t xml:space="preserve">labelId=&lt;ID returned from label creation&gt;
key={{key}}
token={{token}}</t>
  </si>
  <si>
    <t xml:space="preserve">Response returns 200 with the label object (id, name, color, idBoard).</t>
  </si>
  <si>
    <t xml:space="preserve">TC-121</t>
  </si>
  <si>
    <t xml:space="preserve">TS-078</t>
  </si>
  <si>
    <t xml:space="preserve">PUT /labels/{id}</t>
  </si>
  <si>
    <t xml:space="preserve">Update label name</t>
  </si>
  <si>
    <t xml:space="preserve">1. User has a valid API Key and a valid Token
2. An existing label is available
3. A new valid name is prepared</t>
  </si>
  <si>
    <t xml:space="preserve">1. Use an existing valid label id
2. Send PUT request to https://api.trello.com/1/labels/{labelId}
3. Add query params: key={{key}}, token={{token}}, name=&lt;new valid name&gt;
4. Send the request and check the Status Code (expect 200) and the updated 'name' field</t>
  </si>
  <si>
    <t xml:space="preserve">labelId=&lt;valid existing label id&gt;
key={{key}}
token={{token}}
name=Updated Label Name</t>
  </si>
  <si>
    <t xml:space="preserve">Label is updated successfully; response reflects the new field value(s).</t>
  </si>
  <si>
    <t xml:space="preserve">TC-122</t>
  </si>
  <si>
    <t xml:space="preserve">TS-079</t>
  </si>
  <si>
    <t xml:space="preserve">DELETE /labels/{id}</t>
  </si>
  <si>
    <t xml:space="preserve">Delete a label with no cards using it</t>
  </si>
  <si>
    <t xml:space="preserve">1. User has a valid API Key and a valid Token
2. An existing label with no cards using it is available</t>
  </si>
  <si>
    <t xml:space="preserve">1. Use an existing label that is not applied to any card
2. Send DELETE request to https://api.trello.com/1/labels/{labelId}
3. Add query params: key={{key}}, token={{token}}
4. Send the request and check the Status Code (expect 200)</t>
  </si>
  <si>
    <t xml:space="preserve">labelId=&lt;label with no cards using it&gt;
key={{key}}
token={{token}}</t>
  </si>
  <si>
    <t xml:space="preserve">Label is deleted successfully.</t>
  </si>
  <si>
    <t xml:space="preserve">TC-123</t>
  </si>
  <si>
    <t xml:space="preserve">TS-080</t>
  </si>
  <si>
    <t xml:space="preserve">Organization</t>
  </si>
  <si>
    <t xml:space="preserve">POST /organizations</t>
  </si>
  <si>
    <t xml:space="preserve">Create organization with valid name</t>
  </si>
  <si>
    <t xml:space="preserve">1. User has a valid API Key and a valid Token
2. A valid organization name is prepared</t>
  </si>
  <si>
    <t xml:space="preserve">1. Send POST request to https://api.trello.com/1/organizations
2. Add query params: key={{key}}, token={{token}}, displayName=&lt;valid organization name&gt;
3. Send the request
4. Check the Status Code and the response body</t>
  </si>
  <si>
    <t xml:space="preserve">key={{key}}
token={{token}}
displayName=QA Test Organization</t>
  </si>
  <si>
    <t xml:space="preserve">Organization is created successfully; response contains the new organization's id and name.</t>
  </si>
  <si>
    <t xml:space="preserve">TC-124</t>
  </si>
  <si>
    <t xml:space="preserve">TS-081</t>
  </si>
  <si>
    <t xml:space="preserve">GET /organizations/{id}</t>
  </si>
  <si>
    <t xml:space="preserve">Get organization by valid ID</t>
  </si>
  <si>
    <t xml:space="preserve">1. User has a valid API Key and a valid Token
2. An organization was successfully created and its ID is known</t>
  </si>
  <si>
    <t xml:space="preserve">1. Create an organization first (POST /organizations) and note its returned id
2. Send GET request to https://api.trello.com/1/organizations/{organizationId}
3. Add query params: key={{key}}, token={{token}}
4. Send the request and check the Status Code (expect 200)</t>
  </si>
  <si>
    <t xml:space="preserve">organizationId=&lt;ID returned from organization creation&gt;
key={{key}}
token={{token}}</t>
  </si>
  <si>
    <t xml:space="preserve">Response returns 200 with the organization object (id, name, displayName, desc).</t>
  </si>
  <si>
    <t xml:space="preserve">TC-125</t>
  </si>
  <si>
    <t xml:space="preserve">TS-082</t>
  </si>
  <si>
    <t xml:space="preserve">PUT /organizations/{id}</t>
  </si>
  <si>
    <t xml:space="preserve">Update organization display name</t>
  </si>
  <si>
    <t xml:space="preserve">Low</t>
  </si>
  <si>
    <t xml:space="preserve">1. User has a valid API Key and a valid Token
2. An existing organization is available
3. A new valid displayName is prepared</t>
  </si>
  <si>
    <t xml:space="preserve">1. Use an existing valid organization id
2. Send PUT request to https://api.trello.com/1/organizations/{organizationId}
3. Add query params: key={{key}}, token={{token}}, displayName=&lt;new valid display name&gt;
4. Send the request and check the Status Code (expect 200) and the updated 'displayName' field</t>
  </si>
  <si>
    <t xml:space="preserve">organizationId=&lt;valid existing organization id&gt;
key={{key}}
token={{token}}
displayName=Updated Org Display Name</t>
  </si>
  <si>
    <t xml:space="preserve">Organization is updated successfully; response reflects the new field value(s).</t>
  </si>
  <si>
    <t xml:space="preserve">TC-126</t>
  </si>
  <si>
    <t xml:space="preserve">TS-083</t>
  </si>
  <si>
    <t xml:space="preserve">GET /organizations/{id}/actions</t>
  </si>
  <si>
    <t xml:space="preserve">Get all actions for an organization with activity history</t>
  </si>
  <si>
    <t xml:space="preserve">1. User has a valid API Key and a valid Token
2. An existing organization with prior activity is available</t>
  </si>
  <si>
    <t xml:space="preserve">1. Use an existing organization with prior activity
2. Send GET request to https://api.trello.com/1/organizations/{organizationId}/actions
3. Add query params: key={{key}}, token={{token}}
4. Send the request and check the Status Code (expect 200) and that the action history is returned</t>
  </si>
  <si>
    <t xml:space="preserve">organizationId=&lt;organization with prior activity&gt;
key={{key}}
token={{token}}</t>
  </si>
  <si>
    <t xml:space="preserve">Response returns 200 with the list of actions performed on the organization.</t>
  </si>
  <si>
    <t xml:space="preserve">TC-127</t>
  </si>
  <si>
    <t xml:space="preserve">TS-084</t>
  </si>
  <si>
    <t xml:space="preserve">DELETE /organizations/{id}</t>
  </si>
  <si>
    <t xml:space="preserve">Delete an organization with no boards linked</t>
  </si>
  <si>
    <t xml:space="preserve">1. User has a valid API Key and a valid Token
2. An existing organization with no boards linked is available</t>
  </si>
  <si>
    <t xml:space="preserve">1. Use an existing organization with no boards linked
2. Send DELETE request to https://api.trello.com/1/organizations/{organizationId}
3. Add query params: key={{key}}, token={{token}}
4. Send the request and check the Status Code (expect 200)</t>
  </si>
  <si>
    <t xml:space="preserve">organizationId=&lt;organization with no boards linked&gt;
key={{key}}
token={{token}}</t>
  </si>
  <si>
    <t xml:space="preserve">Organization is deleted successfully.</t>
  </si>
  <si>
    <t xml:space="preserve">Test Cases – Summary</t>
  </si>
  <si>
    <t xml:space="preserve">Metric</t>
  </si>
  <si>
    <t xml:space="preserve">Count</t>
  </si>
  <si>
    <t xml:space="preserve">Total Test Cases</t>
  </si>
  <si>
    <t xml:space="preserve">Pass Rate</t>
  </si>
  <si>
    <t xml:space="preserve">By Priority</t>
  </si>
</sst>
</file>

<file path=xl/styles.xml><?xml version="1.0" encoding="utf-8"?>
<styleSheet xmlns="http://schemas.openxmlformats.org/spreadsheetml/2006/main">
  <numFmts count="2">
    <numFmt numFmtId="164" formatCode="General"/>
    <numFmt numFmtId="165" formatCode="0.0%"/>
  </numFmts>
  <fonts count="11">
    <font>
      <sz val="11"/>
      <color theme="1"/>
      <name val="Calibri"/>
      <family val="2"/>
      <charset val="1"/>
    </font>
    <font>
      <sz val="10"/>
      <name val="Arial"/>
      <family val="0"/>
    </font>
    <font>
      <sz val="10"/>
      <name val="Arial"/>
      <family val="0"/>
    </font>
    <font>
      <sz val="10"/>
      <name val="Arial"/>
      <family val="0"/>
    </font>
    <font>
      <b val="true"/>
      <sz val="16"/>
      <name val="Calibri"/>
      <family val="0"/>
      <charset val="1"/>
    </font>
    <font>
      <b val="true"/>
      <sz val="11"/>
      <name val="Calibri"/>
      <family val="0"/>
      <charset val="1"/>
    </font>
    <font>
      <sz val="11"/>
      <name val="Calibri"/>
      <family val="0"/>
      <charset val="1"/>
    </font>
    <font>
      <b val="true"/>
      <sz val="12"/>
      <color theme="1"/>
      <name val="Calibri"/>
      <family val="2"/>
      <charset val="1"/>
    </font>
    <font>
      <sz val="10"/>
      <name val="Arial"/>
      <family val="2"/>
      <charset val="1"/>
    </font>
    <font>
      <sz val="10"/>
      <color theme="1"/>
      <name val="Calibri"/>
      <family val="2"/>
      <charset val="1"/>
    </font>
    <font>
      <sz val="11"/>
      <name val="Calibri"/>
      <family val="2"/>
      <charset val="1"/>
    </font>
  </fonts>
  <fills count="4">
    <fill>
      <patternFill patternType="none"/>
    </fill>
    <fill>
      <patternFill patternType="gray125"/>
    </fill>
    <fill>
      <patternFill patternType="solid">
        <fgColor theme="0" tint="-0.35"/>
        <bgColor rgb="FFC0C0C0"/>
      </patternFill>
    </fill>
    <fill>
      <patternFill patternType="solid">
        <fgColor rgb="FFD9D9D9"/>
        <bgColor rgb="FFC0C0C0"/>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55A11"/>
      <rgbColor rgb="FF666699"/>
      <rgbColor rgb="FFA6A6A6"/>
      <rgbColor rgb="FF003366"/>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4" activeCellId="0" sqref="B34"/>
    </sheetView>
  </sheetViews>
  <sheetFormatPr defaultColWidth="8.6796875" defaultRowHeight="14.25" zeroHeight="false" outlineLevelRow="0" outlineLevelCol="0"/>
  <cols>
    <col collapsed="false" customWidth="true" hidden="false" outlineLevel="0" max="1" min="1" style="0" width="16"/>
    <col collapsed="false" customWidth="true" hidden="false" outlineLevel="0" max="2" min="2" style="0" width="45"/>
  </cols>
  <sheetData>
    <row r="1" customFormat="false" ht="19.7" hidden="false" customHeight="false" outlineLevel="0" collapsed="false">
      <c r="A1" s="1" t="s">
        <v>0</v>
      </c>
    </row>
    <row r="3" customFormat="false" ht="14.25" hidden="false" customHeight="false" outlineLevel="0" collapsed="false">
      <c r="A3" s="2" t="s">
        <v>1</v>
      </c>
      <c r="B3" s="3" t="s">
        <v>2</v>
      </c>
    </row>
    <row r="4" customFormat="false" ht="14.25" hidden="false" customHeight="false" outlineLevel="0" collapsed="false">
      <c r="A4" s="2" t="s">
        <v>3</v>
      </c>
      <c r="B4" s="3" t="s">
        <v>4</v>
      </c>
    </row>
    <row r="5" customFormat="false" ht="14.25" hidden="false" customHeight="false" outlineLevel="0" collapsed="false">
      <c r="A5" s="2" t="s">
        <v>5</v>
      </c>
      <c r="B5" s="3" t="s">
        <v>6</v>
      </c>
    </row>
    <row r="6" customFormat="false" ht="14.25" hidden="false" customHeight="false" outlineLevel="0" collapsed="false">
      <c r="A6" s="2" t="s">
        <v>7</v>
      </c>
      <c r="B6" s="3" t="s">
        <v>8</v>
      </c>
    </row>
    <row r="8" customFormat="false" ht="14.25" hidden="false" customHeight="false" outlineLevel="0" collapsed="false">
      <c r="A8" s="2" t="s">
        <v>9</v>
      </c>
    </row>
    <row r="9" customFormat="false" ht="45" hidden="false" customHeight="true" outlineLevel="0" collapsed="false">
      <c r="A9" s="4" t="s">
        <v>10</v>
      </c>
      <c r="B9" s="4"/>
      <c r="C9" s="4"/>
      <c r="D9" s="4"/>
      <c r="E9" s="4"/>
      <c r="F9" s="4"/>
    </row>
  </sheetData>
  <mergeCells count="1">
    <mergeCell ref="A9:F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R143"/>
  <sheetViews>
    <sheetView showFormulas="false" showGridLines="true" showRowColHeaders="true" showZeros="true" rightToLeft="false" tabSelected="true" showOutlineSymbols="true" defaultGridColor="true" view="normal" topLeftCell="A116" colorId="64" zoomScale="82" zoomScaleNormal="82" zoomScalePageLayoutView="100" workbookViewId="0">
      <selection pane="topLeft" activeCell="D118" activeCellId="0" sqref="D118"/>
    </sheetView>
  </sheetViews>
  <sheetFormatPr defaultColWidth="8.88671875" defaultRowHeight="14.25" zeroHeight="false" outlineLevelRow="0" outlineLevelCol="0"/>
  <cols>
    <col collapsed="false" customWidth="true" hidden="false" outlineLevel="0" max="1" min="1" style="5" width="11.89"/>
    <col collapsed="false" customWidth="true" hidden="false" outlineLevel="0" max="2" min="2" style="5" width="13"/>
    <col collapsed="false" customWidth="true" hidden="false" outlineLevel="0" max="3" min="3" style="5" width="12.88"/>
    <col collapsed="false" customWidth="true" hidden="false" outlineLevel="0" max="4" min="4" style="5" width="46.33"/>
    <col collapsed="false" customWidth="true" hidden="false" outlineLevel="0" max="5" min="5" style="5" width="68.88"/>
    <col collapsed="false" customWidth="true" hidden="false" outlineLevel="0" max="6" min="6" style="5" width="27.77"/>
    <col collapsed="false" customWidth="true" hidden="false" outlineLevel="0" max="7" min="7" style="5" width="17.77"/>
    <col collapsed="false" customWidth="true" hidden="false" outlineLevel="0" max="8" min="8" style="6" width="65.67"/>
    <col collapsed="false" customWidth="true" hidden="false" outlineLevel="0" max="9" min="9" style="6" width="116.78"/>
    <col collapsed="false" customWidth="true" hidden="false" outlineLevel="0" max="10" min="10" style="6" width="48.11"/>
    <col collapsed="false" customWidth="true" hidden="false" outlineLevel="0" max="11" min="11" style="5" width="44.56"/>
    <col collapsed="false" customWidth="true" hidden="false" outlineLevel="0" max="12" min="12" style="5" width="46.77"/>
    <col collapsed="false" customWidth="true" hidden="false" outlineLevel="0" max="13" min="13" style="5" width="14.44"/>
    <col collapsed="false" customWidth="true" hidden="false" outlineLevel="0" max="14" min="14" style="7" width="51.56"/>
    <col collapsed="false" customWidth="true" hidden="false" outlineLevel="0" max="15" min="15" style="5" width="55.77"/>
    <col collapsed="false" customWidth="true" hidden="false" outlineLevel="0" max="16" min="16" style="5" width="12.67"/>
    <col collapsed="false" customWidth="true" hidden="false" outlineLevel="0" max="17" min="17" style="5" width="21.88"/>
    <col collapsed="false" customWidth="true" hidden="false" outlineLevel="0" max="18" min="18" style="7" width="68.44"/>
    <col collapsed="false" customWidth="false" hidden="false" outlineLevel="0" max="16384" min="19" style="5" width="8.88"/>
  </cols>
  <sheetData>
    <row r="1" s="9" customFormat="true" ht="30.75" hidden="false" customHeight="true" outlineLevel="0" collapsed="false">
      <c r="A1" s="8" t="s">
        <v>11</v>
      </c>
      <c r="B1" s="8" t="s">
        <v>12</v>
      </c>
      <c r="C1" s="8" t="s">
        <v>13</v>
      </c>
      <c r="D1" s="8" t="s">
        <v>14</v>
      </c>
      <c r="E1" s="8" t="s">
        <v>15</v>
      </c>
      <c r="F1" s="8" t="s">
        <v>16</v>
      </c>
      <c r="G1" s="8" t="s">
        <v>17</v>
      </c>
      <c r="H1" s="8" t="s">
        <v>18</v>
      </c>
      <c r="I1" s="8" t="s">
        <v>19</v>
      </c>
      <c r="J1" s="8" t="s">
        <v>20</v>
      </c>
      <c r="K1" s="8" t="s">
        <v>21</v>
      </c>
      <c r="L1" s="8" t="s">
        <v>22</v>
      </c>
      <c r="M1" s="8" t="s">
        <v>23</v>
      </c>
      <c r="N1" s="8" t="s">
        <v>24</v>
      </c>
      <c r="O1" s="8" t="s">
        <v>25</v>
      </c>
      <c r="P1" s="8" t="s">
        <v>26</v>
      </c>
      <c r="Q1" s="8" t="s">
        <v>27</v>
      </c>
      <c r="R1" s="8" t="s">
        <v>28</v>
      </c>
    </row>
    <row r="2" customFormat="false" ht="57" hidden="false" customHeight="true" outlineLevel="0" collapsed="false">
      <c r="A2" s="7" t="s">
        <v>29</v>
      </c>
      <c r="B2" s="7" t="s">
        <v>30</v>
      </c>
      <c r="C2" s="7" t="s">
        <v>31</v>
      </c>
      <c r="D2" s="7" t="s">
        <v>32</v>
      </c>
      <c r="E2" s="7" t="s">
        <v>33</v>
      </c>
      <c r="F2" s="7" t="s">
        <v>34</v>
      </c>
      <c r="G2" s="7" t="s">
        <v>35</v>
      </c>
      <c r="H2" s="10" t="s">
        <v>36</v>
      </c>
      <c r="I2" s="10" t="s">
        <v>37</v>
      </c>
      <c r="J2" s="10" t="s">
        <v>38</v>
      </c>
      <c r="K2" s="7" t="s">
        <v>39</v>
      </c>
      <c r="L2" s="7" t="s">
        <v>40</v>
      </c>
      <c r="M2" s="7" t="n">
        <v>200</v>
      </c>
      <c r="N2" s="7" t="s">
        <v>41</v>
      </c>
      <c r="O2" s="7" t="s">
        <v>42</v>
      </c>
      <c r="P2" s="7" t="s">
        <v>43</v>
      </c>
      <c r="Q2" s="7"/>
    </row>
    <row r="3" customFormat="false" ht="57" hidden="false" customHeight="true" outlineLevel="0" collapsed="false">
      <c r="A3" s="7" t="s">
        <v>44</v>
      </c>
      <c r="B3" s="7" t="s">
        <v>45</v>
      </c>
      <c r="C3" s="7" t="s">
        <v>31</v>
      </c>
      <c r="D3" s="7" t="s">
        <v>32</v>
      </c>
      <c r="E3" s="7" t="s">
        <v>46</v>
      </c>
      <c r="F3" s="7" t="s">
        <v>47</v>
      </c>
      <c r="G3" s="7" t="s">
        <v>35</v>
      </c>
      <c r="H3" s="10" t="s">
        <v>48</v>
      </c>
      <c r="I3" s="10" t="s">
        <v>49</v>
      </c>
      <c r="J3" s="10" t="s">
        <v>50</v>
      </c>
      <c r="K3" s="7" t="s">
        <v>39</v>
      </c>
      <c r="L3" s="7" t="s">
        <v>40</v>
      </c>
      <c r="M3" s="7" t="n">
        <v>400</v>
      </c>
      <c r="N3" s="7" t="s">
        <v>51</v>
      </c>
      <c r="O3" s="7" t="s">
        <v>42</v>
      </c>
      <c r="P3" s="7" t="s">
        <v>43</v>
      </c>
      <c r="Q3" s="7"/>
    </row>
    <row r="4" customFormat="false" ht="57" hidden="false" customHeight="true" outlineLevel="0" collapsed="false">
      <c r="A4" s="7" t="s">
        <v>52</v>
      </c>
      <c r="B4" s="7" t="s">
        <v>45</v>
      </c>
      <c r="C4" s="7" t="s">
        <v>31</v>
      </c>
      <c r="D4" s="7" t="s">
        <v>32</v>
      </c>
      <c r="E4" s="7" t="s">
        <v>53</v>
      </c>
      <c r="F4" s="7" t="s">
        <v>47</v>
      </c>
      <c r="G4" s="7" t="s">
        <v>35</v>
      </c>
      <c r="H4" s="10" t="s">
        <v>54</v>
      </c>
      <c r="I4" s="10" t="s">
        <v>55</v>
      </c>
      <c r="J4" s="10" t="s">
        <v>56</v>
      </c>
      <c r="K4" s="7" t="s">
        <v>57</v>
      </c>
      <c r="L4" s="7" t="s">
        <v>58</v>
      </c>
      <c r="M4" s="7" t="n">
        <v>400</v>
      </c>
      <c r="N4" s="7" t="s">
        <v>59</v>
      </c>
      <c r="O4" s="7" t="s">
        <v>42</v>
      </c>
      <c r="P4" s="7" t="s">
        <v>43</v>
      </c>
      <c r="Q4" s="7"/>
      <c r="R4" s="7" t="s">
        <v>60</v>
      </c>
    </row>
    <row r="5" customFormat="false" ht="57" hidden="false" customHeight="true" outlineLevel="0" collapsed="false">
      <c r="A5" s="7" t="s">
        <v>61</v>
      </c>
      <c r="B5" s="7" t="s">
        <v>45</v>
      </c>
      <c r="C5" s="7" t="s">
        <v>31</v>
      </c>
      <c r="D5" s="7" t="s">
        <v>32</v>
      </c>
      <c r="E5" s="7" t="s">
        <v>62</v>
      </c>
      <c r="F5" s="7" t="s">
        <v>47</v>
      </c>
      <c r="G5" s="7" t="s">
        <v>35</v>
      </c>
      <c r="H5" s="10" t="s">
        <v>63</v>
      </c>
      <c r="I5" s="10" t="s">
        <v>64</v>
      </c>
      <c r="J5" s="10" t="s">
        <v>65</v>
      </c>
      <c r="K5" s="7" t="s">
        <v>39</v>
      </c>
      <c r="L5" s="7" t="s">
        <v>40</v>
      </c>
      <c r="M5" s="7" t="n">
        <v>400</v>
      </c>
      <c r="N5" s="7" t="s">
        <v>66</v>
      </c>
      <c r="O5" s="7" t="s">
        <v>42</v>
      </c>
      <c r="P5" s="7" t="s">
        <v>43</v>
      </c>
      <c r="Q5" s="7"/>
      <c r="R5" s="7" t="s">
        <v>67</v>
      </c>
    </row>
    <row r="6" customFormat="false" ht="57" hidden="false" customHeight="true" outlineLevel="0" collapsed="false">
      <c r="A6" s="7" t="s">
        <v>68</v>
      </c>
      <c r="B6" s="7" t="s">
        <v>69</v>
      </c>
      <c r="C6" s="7" t="s">
        <v>31</v>
      </c>
      <c r="D6" s="7" t="s">
        <v>32</v>
      </c>
      <c r="E6" s="7" t="s">
        <v>70</v>
      </c>
      <c r="F6" s="7" t="s">
        <v>71</v>
      </c>
      <c r="G6" s="7" t="s">
        <v>35</v>
      </c>
      <c r="H6" s="10" t="s">
        <v>72</v>
      </c>
      <c r="I6" s="10" t="s">
        <v>73</v>
      </c>
      <c r="J6" s="10" t="s">
        <v>74</v>
      </c>
      <c r="K6" s="7" t="s">
        <v>39</v>
      </c>
      <c r="L6" s="7" t="s">
        <v>40</v>
      </c>
      <c r="M6" s="7" t="n">
        <v>401</v>
      </c>
      <c r="N6" s="7" t="s">
        <v>75</v>
      </c>
      <c r="O6" s="7" t="s">
        <v>42</v>
      </c>
      <c r="P6" s="7" t="s">
        <v>43</v>
      </c>
      <c r="Q6" s="7"/>
    </row>
    <row r="7" customFormat="false" ht="57" hidden="false" customHeight="true" outlineLevel="0" collapsed="false">
      <c r="A7" s="7" t="s">
        <v>76</v>
      </c>
      <c r="B7" s="7" t="s">
        <v>69</v>
      </c>
      <c r="C7" s="7" t="s">
        <v>31</v>
      </c>
      <c r="D7" s="7" t="s">
        <v>32</v>
      </c>
      <c r="E7" s="7" t="s">
        <v>77</v>
      </c>
      <c r="F7" s="7" t="s">
        <v>71</v>
      </c>
      <c r="G7" s="7" t="s">
        <v>35</v>
      </c>
      <c r="H7" s="10" t="s">
        <v>78</v>
      </c>
      <c r="I7" s="10" t="s">
        <v>79</v>
      </c>
      <c r="J7" s="10" t="s">
        <v>80</v>
      </c>
      <c r="K7" s="7" t="s">
        <v>39</v>
      </c>
      <c r="L7" s="7" t="s">
        <v>40</v>
      </c>
      <c r="M7" s="7" t="n">
        <v>401</v>
      </c>
      <c r="N7" s="7" t="s">
        <v>75</v>
      </c>
      <c r="O7" s="7" t="s">
        <v>42</v>
      </c>
      <c r="P7" s="7" t="s">
        <v>43</v>
      </c>
      <c r="Q7" s="7"/>
    </row>
    <row r="8" customFormat="false" ht="57" hidden="false" customHeight="true" outlineLevel="0" collapsed="false">
      <c r="A8" s="7" t="s">
        <v>81</v>
      </c>
      <c r="B8" s="7" t="s">
        <v>69</v>
      </c>
      <c r="C8" s="7" t="s">
        <v>31</v>
      </c>
      <c r="D8" s="7" t="s">
        <v>32</v>
      </c>
      <c r="E8" s="7" t="s">
        <v>82</v>
      </c>
      <c r="F8" s="7" t="s">
        <v>71</v>
      </c>
      <c r="G8" s="7" t="s">
        <v>35</v>
      </c>
      <c r="H8" s="10" t="s">
        <v>83</v>
      </c>
      <c r="I8" s="10" t="s">
        <v>84</v>
      </c>
      <c r="J8" s="10" t="s">
        <v>85</v>
      </c>
      <c r="K8" s="7" t="s">
        <v>39</v>
      </c>
      <c r="L8" s="7" t="s">
        <v>40</v>
      </c>
      <c r="M8" s="7" t="n">
        <v>401</v>
      </c>
      <c r="N8" s="7" t="s">
        <v>86</v>
      </c>
      <c r="O8" s="7" t="s">
        <v>42</v>
      </c>
      <c r="P8" s="7" t="s">
        <v>43</v>
      </c>
      <c r="Q8" s="7"/>
    </row>
    <row r="9" customFormat="false" ht="72" hidden="false" customHeight="true" outlineLevel="0" collapsed="false">
      <c r="A9" s="7" t="s">
        <v>87</v>
      </c>
      <c r="B9" s="7" t="s">
        <v>88</v>
      </c>
      <c r="C9" s="7" t="s">
        <v>31</v>
      </c>
      <c r="D9" s="7" t="s">
        <v>89</v>
      </c>
      <c r="E9" s="7" t="s">
        <v>90</v>
      </c>
      <c r="F9" s="7" t="s">
        <v>91</v>
      </c>
      <c r="G9" s="7" t="s">
        <v>35</v>
      </c>
      <c r="H9" s="10" t="s">
        <v>92</v>
      </c>
      <c r="I9" s="10" t="s">
        <v>93</v>
      </c>
      <c r="J9" s="10" t="s">
        <v>94</v>
      </c>
      <c r="K9" s="7" t="s">
        <v>39</v>
      </c>
      <c r="L9" s="7" t="s">
        <v>40</v>
      </c>
      <c r="M9" s="7" t="n">
        <v>200</v>
      </c>
      <c r="N9" s="7" t="s">
        <v>95</v>
      </c>
      <c r="O9" s="7" t="s">
        <v>42</v>
      </c>
      <c r="P9" s="7" t="s">
        <v>43</v>
      </c>
      <c r="Q9" s="7"/>
    </row>
    <row r="10" customFormat="false" ht="57" hidden="false" customHeight="true" outlineLevel="0" collapsed="false">
      <c r="A10" s="7" t="s">
        <v>96</v>
      </c>
      <c r="B10" s="7" t="s">
        <v>97</v>
      </c>
      <c r="C10" s="7" t="s">
        <v>31</v>
      </c>
      <c r="D10" s="7" t="s">
        <v>89</v>
      </c>
      <c r="E10" s="7" t="s">
        <v>98</v>
      </c>
      <c r="F10" s="7" t="s">
        <v>47</v>
      </c>
      <c r="G10" s="7" t="s">
        <v>35</v>
      </c>
      <c r="H10" s="10" t="s">
        <v>99</v>
      </c>
      <c r="I10" s="10" t="s">
        <v>100</v>
      </c>
      <c r="J10" s="10" t="s">
        <v>101</v>
      </c>
      <c r="K10" s="7" t="s">
        <v>39</v>
      </c>
      <c r="L10" s="7" t="s">
        <v>40</v>
      </c>
      <c r="M10" s="7" t="n">
        <v>404</v>
      </c>
      <c r="N10" s="7" t="s">
        <v>102</v>
      </c>
      <c r="O10" s="7" t="s">
        <v>42</v>
      </c>
      <c r="P10" s="7" t="s">
        <v>43</v>
      </c>
      <c r="Q10" s="7"/>
      <c r="R10" s="7" t="s">
        <v>103</v>
      </c>
    </row>
    <row r="11" customFormat="false" ht="42.75" hidden="false" customHeight="true" outlineLevel="0" collapsed="false">
      <c r="A11" s="7" t="s">
        <v>104</v>
      </c>
      <c r="B11" s="7" t="s">
        <v>97</v>
      </c>
      <c r="C11" s="7" t="s">
        <v>31</v>
      </c>
      <c r="D11" s="7" t="s">
        <v>89</v>
      </c>
      <c r="E11" s="7" t="s">
        <v>105</v>
      </c>
      <c r="F11" s="7" t="s">
        <v>47</v>
      </c>
      <c r="G11" s="7" t="s">
        <v>35</v>
      </c>
      <c r="H11" s="10" t="s">
        <v>106</v>
      </c>
      <c r="I11" s="10" t="s">
        <v>107</v>
      </c>
      <c r="J11" s="10" t="s">
        <v>108</v>
      </c>
      <c r="K11" s="7" t="s">
        <v>39</v>
      </c>
      <c r="L11" s="7" t="s">
        <v>40</v>
      </c>
      <c r="M11" s="7" t="n">
        <v>404</v>
      </c>
      <c r="N11" s="7" t="s">
        <v>109</v>
      </c>
      <c r="O11" s="7" t="s">
        <v>42</v>
      </c>
      <c r="P11" s="7" t="s">
        <v>43</v>
      </c>
      <c r="Q11" s="7"/>
      <c r="R11" s="7" t="s">
        <v>110</v>
      </c>
    </row>
    <row r="12" customFormat="false" ht="57" hidden="false" customHeight="true" outlineLevel="0" collapsed="false">
      <c r="A12" s="7" t="s">
        <v>111</v>
      </c>
      <c r="B12" s="7" t="s">
        <v>112</v>
      </c>
      <c r="C12" s="7" t="s">
        <v>31</v>
      </c>
      <c r="D12" s="7" t="s">
        <v>89</v>
      </c>
      <c r="E12" s="7" t="s">
        <v>113</v>
      </c>
      <c r="F12" s="7" t="s">
        <v>71</v>
      </c>
      <c r="G12" s="7" t="s">
        <v>35</v>
      </c>
      <c r="H12" s="10" t="s">
        <v>114</v>
      </c>
      <c r="I12" s="10" t="s">
        <v>115</v>
      </c>
      <c r="J12" s="10" t="s">
        <v>116</v>
      </c>
      <c r="K12" s="7" t="s">
        <v>39</v>
      </c>
      <c r="L12" s="7" t="s">
        <v>40</v>
      </c>
      <c r="M12" s="7" t="n">
        <v>401</v>
      </c>
      <c r="N12" s="7" t="s">
        <v>117</v>
      </c>
      <c r="O12" s="7" t="s">
        <v>42</v>
      </c>
      <c r="P12" s="7" t="s">
        <v>43</v>
      </c>
      <c r="Q12" s="7"/>
    </row>
    <row r="13" customFormat="false" ht="57" hidden="false" customHeight="true" outlineLevel="0" collapsed="false">
      <c r="A13" s="7" t="s">
        <v>118</v>
      </c>
      <c r="B13" s="7" t="s">
        <v>112</v>
      </c>
      <c r="C13" s="7" t="s">
        <v>31</v>
      </c>
      <c r="D13" s="7" t="s">
        <v>89</v>
      </c>
      <c r="E13" s="7" t="s">
        <v>119</v>
      </c>
      <c r="F13" s="7" t="s">
        <v>71</v>
      </c>
      <c r="G13" s="7" t="s">
        <v>35</v>
      </c>
      <c r="H13" s="10" t="s">
        <v>120</v>
      </c>
      <c r="I13" s="10" t="s">
        <v>121</v>
      </c>
      <c r="J13" s="10" t="s">
        <v>122</v>
      </c>
      <c r="K13" s="7" t="s">
        <v>39</v>
      </c>
      <c r="L13" s="7" t="s">
        <v>40</v>
      </c>
      <c r="M13" s="7" t="n">
        <v>401</v>
      </c>
      <c r="N13" s="7" t="s">
        <v>123</v>
      </c>
      <c r="O13" s="7" t="s">
        <v>42</v>
      </c>
      <c r="P13" s="7" t="s">
        <v>43</v>
      </c>
      <c r="Q13" s="7"/>
    </row>
    <row r="14" customFormat="false" ht="57" hidden="false" customHeight="true" outlineLevel="0" collapsed="false">
      <c r="A14" s="7" t="s">
        <v>124</v>
      </c>
      <c r="B14" s="7" t="s">
        <v>125</v>
      </c>
      <c r="C14" s="7" t="s">
        <v>31</v>
      </c>
      <c r="D14" s="7" t="s">
        <v>126</v>
      </c>
      <c r="E14" s="7" t="s">
        <v>127</v>
      </c>
      <c r="F14" s="7" t="s">
        <v>91</v>
      </c>
      <c r="G14" s="7" t="s">
        <v>35</v>
      </c>
      <c r="H14" s="10" t="s">
        <v>128</v>
      </c>
      <c r="I14" s="10" t="s">
        <v>129</v>
      </c>
      <c r="J14" s="10" t="s">
        <v>130</v>
      </c>
      <c r="K14" s="7" t="s">
        <v>39</v>
      </c>
      <c r="L14" s="7" t="s">
        <v>40</v>
      </c>
      <c r="M14" s="7" t="n">
        <v>200</v>
      </c>
      <c r="N14" s="7" t="s">
        <v>131</v>
      </c>
      <c r="O14" s="7" t="s">
        <v>42</v>
      </c>
      <c r="P14" s="7" t="s">
        <v>43</v>
      </c>
      <c r="Q14" s="7"/>
    </row>
    <row r="15" customFormat="false" ht="57" hidden="false" customHeight="true" outlineLevel="0" collapsed="false">
      <c r="A15" s="7" t="s">
        <v>132</v>
      </c>
      <c r="B15" s="7" t="s">
        <v>133</v>
      </c>
      <c r="C15" s="7" t="s">
        <v>31</v>
      </c>
      <c r="D15" s="7" t="s">
        <v>126</v>
      </c>
      <c r="E15" s="7" t="s">
        <v>134</v>
      </c>
      <c r="F15" s="7" t="s">
        <v>47</v>
      </c>
      <c r="G15" s="7" t="s">
        <v>35</v>
      </c>
      <c r="H15" s="10" t="s">
        <v>99</v>
      </c>
      <c r="I15" s="10" t="s">
        <v>135</v>
      </c>
      <c r="J15" s="10" t="s">
        <v>136</v>
      </c>
      <c r="K15" s="7" t="s">
        <v>39</v>
      </c>
      <c r="L15" s="7" t="s">
        <v>40</v>
      </c>
      <c r="M15" s="7" t="n">
        <v>404</v>
      </c>
      <c r="N15" s="7" t="s">
        <v>102</v>
      </c>
      <c r="O15" s="7" t="s">
        <v>42</v>
      </c>
      <c r="P15" s="7" t="s">
        <v>43</v>
      </c>
      <c r="Q15" s="7"/>
    </row>
    <row r="16" customFormat="false" ht="57" hidden="false" customHeight="true" outlineLevel="0" collapsed="false">
      <c r="A16" s="7" t="s">
        <v>137</v>
      </c>
      <c r="B16" s="7" t="s">
        <v>133</v>
      </c>
      <c r="C16" s="7" t="s">
        <v>31</v>
      </c>
      <c r="D16" s="7" t="s">
        <v>126</v>
      </c>
      <c r="E16" s="7" t="s">
        <v>138</v>
      </c>
      <c r="F16" s="7" t="s">
        <v>47</v>
      </c>
      <c r="G16" s="7" t="s">
        <v>35</v>
      </c>
      <c r="H16" s="10" t="s">
        <v>139</v>
      </c>
      <c r="I16" s="10" t="s">
        <v>140</v>
      </c>
      <c r="J16" s="10" t="s">
        <v>141</v>
      </c>
      <c r="K16" s="7" t="s">
        <v>39</v>
      </c>
      <c r="L16" s="7" t="s">
        <v>40</v>
      </c>
      <c r="M16" s="7" t="n">
        <v>400</v>
      </c>
      <c r="N16" s="7" t="s">
        <v>142</v>
      </c>
      <c r="O16" s="7" t="s">
        <v>42</v>
      </c>
      <c r="P16" s="7" t="s">
        <v>43</v>
      </c>
      <c r="Q16" s="7"/>
    </row>
    <row r="17" customFormat="false" ht="57" hidden="false" customHeight="true" outlineLevel="0" collapsed="false">
      <c r="A17" s="7" t="s">
        <v>143</v>
      </c>
      <c r="B17" s="7" t="s">
        <v>144</v>
      </c>
      <c r="C17" s="7" t="s">
        <v>31</v>
      </c>
      <c r="D17" s="7" t="s">
        <v>126</v>
      </c>
      <c r="E17" s="5" t="s">
        <v>145</v>
      </c>
      <c r="F17" s="7" t="s">
        <v>47</v>
      </c>
      <c r="G17" s="7" t="s">
        <v>35</v>
      </c>
      <c r="H17" s="10" t="s">
        <v>146</v>
      </c>
      <c r="I17" s="10" t="s">
        <v>147</v>
      </c>
      <c r="J17" s="10" t="s">
        <v>148</v>
      </c>
      <c r="K17" s="5" t="s">
        <v>149</v>
      </c>
      <c r="L17" s="5" t="s">
        <v>150</v>
      </c>
      <c r="M17" s="7" t="n">
        <v>400</v>
      </c>
      <c r="N17" s="7" t="s">
        <v>151</v>
      </c>
      <c r="O17" s="7" t="s">
        <v>42</v>
      </c>
      <c r="P17" s="7" t="s">
        <v>43</v>
      </c>
      <c r="Q17" s="7"/>
    </row>
    <row r="18" customFormat="false" ht="57" hidden="false" customHeight="true" outlineLevel="0" collapsed="false">
      <c r="A18" s="7" t="s">
        <v>152</v>
      </c>
      <c r="B18" s="7" t="s">
        <v>144</v>
      </c>
      <c r="C18" s="7" t="s">
        <v>31</v>
      </c>
      <c r="D18" s="7" t="s">
        <v>126</v>
      </c>
      <c r="E18" s="7" t="s">
        <v>153</v>
      </c>
      <c r="F18" s="7" t="s">
        <v>47</v>
      </c>
      <c r="G18" s="7" t="s">
        <v>35</v>
      </c>
      <c r="H18" s="10" t="s">
        <v>154</v>
      </c>
      <c r="I18" s="10" t="s">
        <v>155</v>
      </c>
      <c r="J18" s="10" t="s">
        <v>156</v>
      </c>
      <c r="K18" s="7" t="s">
        <v>39</v>
      </c>
      <c r="L18" s="7" t="s">
        <v>40</v>
      </c>
      <c r="M18" s="7" t="n">
        <v>400</v>
      </c>
      <c r="N18" s="7" t="s">
        <v>157</v>
      </c>
      <c r="O18" s="7" t="s">
        <v>42</v>
      </c>
      <c r="P18" s="7" t="s">
        <v>43</v>
      </c>
      <c r="Q18" s="7"/>
    </row>
    <row r="19" customFormat="false" ht="57" hidden="false" customHeight="true" outlineLevel="0" collapsed="false">
      <c r="A19" s="7" t="s">
        <v>158</v>
      </c>
      <c r="B19" s="7" t="s">
        <v>144</v>
      </c>
      <c r="C19" s="7" t="s">
        <v>31</v>
      </c>
      <c r="D19" s="7" t="s">
        <v>126</v>
      </c>
      <c r="E19" s="7" t="s">
        <v>159</v>
      </c>
      <c r="F19" s="7" t="s">
        <v>47</v>
      </c>
      <c r="G19" s="7" t="s">
        <v>35</v>
      </c>
      <c r="H19" s="10" t="s">
        <v>160</v>
      </c>
      <c r="I19" s="10" t="s">
        <v>161</v>
      </c>
      <c r="J19" s="10" t="s">
        <v>162</v>
      </c>
      <c r="K19" s="5" t="s">
        <v>149</v>
      </c>
      <c r="L19" s="5" t="s">
        <v>163</v>
      </c>
      <c r="M19" s="7" t="n">
        <v>400</v>
      </c>
      <c r="N19" s="7" t="s">
        <v>151</v>
      </c>
      <c r="O19" s="7" t="s">
        <v>42</v>
      </c>
      <c r="P19" s="7" t="s">
        <v>43</v>
      </c>
      <c r="Q19" s="7"/>
    </row>
    <row r="20" customFormat="false" ht="72" hidden="false" customHeight="true" outlineLevel="0" collapsed="false">
      <c r="A20" s="7" t="s">
        <v>164</v>
      </c>
      <c r="B20" s="7" t="s">
        <v>165</v>
      </c>
      <c r="C20" s="7" t="s">
        <v>31</v>
      </c>
      <c r="D20" s="7" t="s">
        <v>166</v>
      </c>
      <c r="E20" s="7" t="s">
        <v>167</v>
      </c>
      <c r="F20" s="7" t="s">
        <v>91</v>
      </c>
      <c r="G20" s="7" t="s">
        <v>35</v>
      </c>
      <c r="H20" s="10" t="s">
        <v>168</v>
      </c>
      <c r="I20" s="10" t="s">
        <v>169</v>
      </c>
      <c r="J20" s="10" t="s">
        <v>170</v>
      </c>
      <c r="K20" s="7" t="s">
        <v>149</v>
      </c>
      <c r="L20" s="7" t="s">
        <v>40</v>
      </c>
      <c r="M20" s="7" t="n">
        <v>200</v>
      </c>
      <c r="N20" s="7" t="s">
        <v>171</v>
      </c>
      <c r="O20" s="7" t="s">
        <v>42</v>
      </c>
      <c r="P20" s="7" t="s">
        <v>43</v>
      </c>
      <c r="Q20" s="7"/>
    </row>
    <row r="21" customFormat="false" ht="72" hidden="false" customHeight="true" outlineLevel="0" collapsed="false">
      <c r="A21" s="7" t="s">
        <v>172</v>
      </c>
      <c r="B21" s="7" t="s">
        <v>173</v>
      </c>
      <c r="C21" s="7" t="s">
        <v>31</v>
      </c>
      <c r="D21" s="7" t="s">
        <v>166</v>
      </c>
      <c r="E21" s="7" t="s">
        <v>174</v>
      </c>
      <c r="F21" s="7" t="s">
        <v>47</v>
      </c>
      <c r="G21" s="7" t="s">
        <v>35</v>
      </c>
      <c r="H21" s="10" t="s">
        <v>175</v>
      </c>
      <c r="I21" s="10" t="s">
        <v>176</v>
      </c>
      <c r="J21" s="10" t="s">
        <v>177</v>
      </c>
      <c r="K21" s="7" t="s">
        <v>149</v>
      </c>
      <c r="L21" s="7" t="s">
        <v>40</v>
      </c>
      <c r="M21" s="7" t="n">
        <v>400</v>
      </c>
      <c r="N21" s="7" t="s">
        <v>178</v>
      </c>
      <c r="O21" s="7" t="s">
        <v>42</v>
      </c>
      <c r="P21" s="7" t="s">
        <v>43</v>
      </c>
      <c r="Q21" s="7"/>
    </row>
    <row r="22" customFormat="false" ht="72" hidden="false" customHeight="true" outlineLevel="0" collapsed="false">
      <c r="A22" s="7" t="s">
        <v>179</v>
      </c>
      <c r="B22" s="7" t="s">
        <v>173</v>
      </c>
      <c r="C22" s="7" t="s">
        <v>31</v>
      </c>
      <c r="D22" s="7" t="s">
        <v>166</v>
      </c>
      <c r="E22" s="7" t="s">
        <v>180</v>
      </c>
      <c r="F22" s="7" t="s">
        <v>47</v>
      </c>
      <c r="G22" s="7" t="s">
        <v>35</v>
      </c>
      <c r="H22" s="10" t="s">
        <v>181</v>
      </c>
      <c r="I22" s="10" t="s">
        <v>182</v>
      </c>
      <c r="J22" s="10" t="s">
        <v>183</v>
      </c>
      <c r="K22" s="7" t="s">
        <v>149</v>
      </c>
      <c r="L22" s="7" t="s">
        <v>40</v>
      </c>
      <c r="M22" s="7" t="n">
        <v>400</v>
      </c>
      <c r="N22" s="7" t="s">
        <v>184</v>
      </c>
      <c r="O22" s="7" t="s">
        <v>42</v>
      </c>
      <c r="P22" s="7" t="s">
        <v>43</v>
      </c>
      <c r="Q22" s="7"/>
    </row>
    <row r="23" customFormat="false" ht="57" hidden="false" customHeight="true" outlineLevel="0" collapsed="false">
      <c r="A23" s="7" t="s">
        <v>185</v>
      </c>
      <c r="B23" s="7" t="s">
        <v>186</v>
      </c>
      <c r="C23" s="7" t="s">
        <v>31</v>
      </c>
      <c r="D23" s="7" t="s">
        <v>187</v>
      </c>
      <c r="E23" s="7" t="s">
        <v>188</v>
      </c>
      <c r="F23" s="7" t="s">
        <v>91</v>
      </c>
      <c r="G23" s="11" t="s">
        <v>35</v>
      </c>
      <c r="H23" s="10" t="s">
        <v>189</v>
      </c>
      <c r="I23" s="10" t="s">
        <v>190</v>
      </c>
      <c r="J23" s="10" t="s">
        <v>191</v>
      </c>
      <c r="K23" s="7" t="s">
        <v>39</v>
      </c>
      <c r="L23" s="7" t="s">
        <v>40</v>
      </c>
      <c r="M23" s="7" t="n">
        <v>200</v>
      </c>
      <c r="N23" s="7" t="s">
        <v>192</v>
      </c>
      <c r="O23" s="7" t="s">
        <v>42</v>
      </c>
      <c r="P23" s="7" t="s">
        <v>43</v>
      </c>
      <c r="Q23" s="7"/>
    </row>
    <row r="24" customFormat="false" ht="57" hidden="false" customHeight="true" outlineLevel="0" collapsed="false">
      <c r="A24" s="7" t="s">
        <v>193</v>
      </c>
      <c r="B24" s="7" t="s">
        <v>194</v>
      </c>
      <c r="C24" s="7" t="s">
        <v>31</v>
      </c>
      <c r="D24" s="7" t="s">
        <v>187</v>
      </c>
      <c r="E24" s="7" t="s">
        <v>195</v>
      </c>
      <c r="F24" s="7" t="s">
        <v>47</v>
      </c>
      <c r="G24" s="7" t="s">
        <v>35</v>
      </c>
      <c r="H24" s="10" t="s">
        <v>99</v>
      </c>
      <c r="I24" s="10" t="s">
        <v>196</v>
      </c>
      <c r="J24" s="10" t="s">
        <v>101</v>
      </c>
      <c r="K24" s="7" t="s">
        <v>39</v>
      </c>
      <c r="L24" s="7" t="s">
        <v>40</v>
      </c>
      <c r="M24" s="7" t="n">
        <v>404</v>
      </c>
      <c r="N24" s="7" t="s">
        <v>102</v>
      </c>
      <c r="O24" s="7" t="s">
        <v>42</v>
      </c>
      <c r="P24" s="7" t="s">
        <v>43</v>
      </c>
      <c r="Q24" s="7"/>
    </row>
    <row r="25" customFormat="false" ht="57" hidden="false" customHeight="true" outlineLevel="0" collapsed="false">
      <c r="A25" s="7" t="s">
        <v>197</v>
      </c>
      <c r="B25" s="7" t="s">
        <v>198</v>
      </c>
      <c r="C25" s="7" t="s">
        <v>31</v>
      </c>
      <c r="D25" s="7" t="s">
        <v>187</v>
      </c>
      <c r="E25" s="7" t="s">
        <v>199</v>
      </c>
      <c r="F25" s="7" t="s">
        <v>71</v>
      </c>
      <c r="G25" s="7" t="s">
        <v>35</v>
      </c>
      <c r="H25" s="10" t="s">
        <v>114</v>
      </c>
      <c r="I25" s="10" t="s">
        <v>200</v>
      </c>
      <c r="J25" s="10" t="s">
        <v>116</v>
      </c>
      <c r="K25" s="7" t="s">
        <v>39</v>
      </c>
      <c r="L25" s="7" t="s">
        <v>40</v>
      </c>
      <c r="M25" s="7" t="n">
        <v>401</v>
      </c>
      <c r="N25" s="7" t="s">
        <v>117</v>
      </c>
      <c r="O25" s="7" t="s">
        <v>42</v>
      </c>
      <c r="P25" s="7" t="s">
        <v>43</v>
      </c>
      <c r="Q25" s="7"/>
    </row>
    <row r="26" customFormat="false" ht="57" hidden="false" customHeight="true" outlineLevel="0" collapsed="false">
      <c r="A26" s="7" t="s">
        <v>201</v>
      </c>
      <c r="B26" s="7" t="s">
        <v>202</v>
      </c>
      <c r="C26" s="7" t="s">
        <v>31</v>
      </c>
      <c r="D26" s="7" t="s">
        <v>203</v>
      </c>
      <c r="E26" s="7" t="s">
        <v>204</v>
      </c>
      <c r="F26" s="7" t="s">
        <v>91</v>
      </c>
      <c r="G26" s="7" t="s">
        <v>35</v>
      </c>
      <c r="H26" s="10" t="s">
        <v>205</v>
      </c>
      <c r="I26" s="10" t="s">
        <v>206</v>
      </c>
      <c r="J26" s="10" t="s">
        <v>207</v>
      </c>
      <c r="K26" s="7" t="s">
        <v>39</v>
      </c>
      <c r="L26" s="7" t="s">
        <v>40</v>
      </c>
      <c r="M26" s="7" t="n">
        <v>200</v>
      </c>
      <c r="N26" s="7" t="s">
        <v>208</v>
      </c>
      <c r="O26" s="7" t="s">
        <v>42</v>
      </c>
      <c r="P26" s="7" t="s">
        <v>43</v>
      </c>
      <c r="Q26" s="7"/>
    </row>
    <row r="27" customFormat="false" ht="57" hidden="false" customHeight="true" outlineLevel="0" collapsed="false">
      <c r="A27" s="7" t="s">
        <v>209</v>
      </c>
      <c r="B27" s="7" t="s">
        <v>210</v>
      </c>
      <c r="C27" s="7" t="s">
        <v>31</v>
      </c>
      <c r="D27" s="7" t="s">
        <v>203</v>
      </c>
      <c r="E27" s="7" t="s">
        <v>211</v>
      </c>
      <c r="F27" s="7" t="s">
        <v>47</v>
      </c>
      <c r="G27" s="7" t="s">
        <v>35</v>
      </c>
      <c r="H27" s="10" t="s">
        <v>99</v>
      </c>
      <c r="I27" s="10" t="s">
        <v>212</v>
      </c>
      <c r="J27" s="10" t="s">
        <v>213</v>
      </c>
      <c r="K27" s="7" t="s">
        <v>39</v>
      </c>
      <c r="L27" s="7" t="s">
        <v>40</v>
      </c>
      <c r="M27" s="7" t="n">
        <v>404</v>
      </c>
      <c r="N27" s="7" t="s">
        <v>102</v>
      </c>
      <c r="O27" s="7" t="s">
        <v>42</v>
      </c>
      <c r="P27" s="7" t="s">
        <v>43</v>
      </c>
      <c r="Q27" s="7"/>
    </row>
    <row r="28" customFormat="false" ht="72" hidden="false" customHeight="true" outlineLevel="0" collapsed="false">
      <c r="A28" s="7" t="s">
        <v>214</v>
      </c>
      <c r="B28" s="7" t="s">
        <v>215</v>
      </c>
      <c r="C28" s="7" t="s">
        <v>31</v>
      </c>
      <c r="D28" s="7" t="s">
        <v>203</v>
      </c>
      <c r="E28" s="7" t="s">
        <v>216</v>
      </c>
      <c r="F28" s="7" t="s">
        <v>47</v>
      </c>
      <c r="G28" s="7" t="s">
        <v>35</v>
      </c>
      <c r="H28" s="10" t="s">
        <v>217</v>
      </c>
      <c r="I28" s="10" t="s">
        <v>218</v>
      </c>
      <c r="J28" s="10" t="s">
        <v>219</v>
      </c>
      <c r="K28" s="7" t="s">
        <v>39</v>
      </c>
      <c r="L28" s="7" t="s">
        <v>40</v>
      </c>
      <c r="M28" s="7" t="n">
        <v>401</v>
      </c>
      <c r="N28" s="7" t="s">
        <v>220</v>
      </c>
      <c r="O28" s="7" t="s">
        <v>42</v>
      </c>
      <c r="P28" s="7" t="s">
        <v>43</v>
      </c>
      <c r="Q28" s="7"/>
    </row>
    <row r="29" customFormat="false" ht="57" hidden="false" customHeight="true" outlineLevel="0" collapsed="false">
      <c r="A29" s="7" t="s">
        <v>221</v>
      </c>
      <c r="B29" s="7" t="s">
        <v>222</v>
      </c>
      <c r="C29" s="7" t="s">
        <v>31</v>
      </c>
      <c r="D29" s="7" t="s">
        <v>203</v>
      </c>
      <c r="E29" s="7" t="s">
        <v>223</v>
      </c>
      <c r="F29" s="7" t="s">
        <v>71</v>
      </c>
      <c r="G29" s="7" t="s">
        <v>35</v>
      </c>
      <c r="H29" s="10" t="s">
        <v>224</v>
      </c>
      <c r="I29" s="10" t="s">
        <v>225</v>
      </c>
      <c r="J29" s="10" t="s">
        <v>226</v>
      </c>
      <c r="K29" s="7" t="s">
        <v>39</v>
      </c>
      <c r="L29" s="7" t="s">
        <v>40</v>
      </c>
      <c r="M29" s="7" t="n">
        <v>401</v>
      </c>
      <c r="N29" s="7" t="s">
        <v>117</v>
      </c>
      <c r="O29" s="7" t="s">
        <v>42</v>
      </c>
      <c r="P29" s="7" t="s">
        <v>43</v>
      </c>
      <c r="Q29" s="7"/>
    </row>
    <row r="30" customFormat="false" ht="57" hidden="false" customHeight="true" outlineLevel="0" collapsed="false">
      <c r="A30" s="7" t="s">
        <v>227</v>
      </c>
      <c r="B30" s="7" t="s">
        <v>228</v>
      </c>
      <c r="C30" s="7" t="s">
        <v>31</v>
      </c>
      <c r="D30" s="7" t="s">
        <v>229</v>
      </c>
      <c r="E30" s="7" t="s">
        <v>230</v>
      </c>
      <c r="F30" s="7" t="s">
        <v>91</v>
      </c>
      <c r="G30" s="7" t="s">
        <v>35</v>
      </c>
      <c r="H30" s="10" t="s">
        <v>231</v>
      </c>
      <c r="I30" s="10" t="s">
        <v>232</v>
      </c>
      <c r="J30" s="10" t="s">
        <v>233</v>
      </c>
      <c r="K30" s="7" t="s">
        <v>39</v>
      </c>
      <c r="L30" s="7" t="s">
        <v>40</v>
      </c>
      <c r="M30" s="7" t="n">
        <v>200</v>
      </c>
      <c r="N30" s="7" t="s">
        <v>234</v>
      </c>
      <c r="O30" s="7" t="s">
        <v>42</v>
      </c>
      <c r="P30" s="7" t="s">
        <v>43</v>
      </c>
      <c r="Q30" s="7"/>
    </row>
    <row r="31" customFormat="false" ht="57" hidden="false" customHeight="true" outlineLevel="0" collapsed="false">
      <c r="A31" s="7" t="s">
        <v>235</v>
      </c>
      <c r="B31" s="7" t="s">
        <v>228</v>
      </c>
      <c r="C31" s="7" t="s">
        <v>31</v>
      </c>
      <c r="D31" s="7" t="s">
        <v>229</v>
      </c>
      <c r="E31" s="7" t="s">
        <v>236</v>
      </c>
      <c r="F31" s="7" t="s">
        <v>91</v>
      </c>
      <c r="G31" s="7" t="s">
        <v>35</v>
      </c>
      <c r="H31" s="10" t="s">
        <v>237</v>
      </c>
      <c r="I31" s="10" t="s">
        <v>238</v>
      </c>
      <c r="J31" s="10" t="s">
        <v>239</v>
      </c>
      <c r="K31" s="7" t="s">
        <v>39</v>
      </c>
      <c r="L31" s="7" t="s">
        <v>40</v>
      </c>
      <c r="M31" s="7" t="n">
        <v>200</v>
      </c>
      <c r="N31" s="7" t="s">
        <v>234</v>
      </c>
      <c r="O31" s="7" t="s">
        <v>42</v>
      </c>
      <c r="P31" s="7" t="s">
        <v>43</v>
      </c>
      <c r="Q31" s="7"/>
    </row>
    <row r="32" customFormat="false" ht="57" hidden="false" customHeight="true" outlineLevel="0" collapsed="false">
      <c r="A32" s="7" t="s">
        <v>240</v>
      </c>
      <c r="B32" s="7" t="s">
        <v>241</v>
      </c>
      <c r="C32" s="7" t="s">
        <v>31</v>
      </c>
      <c r="D32" s="7" t="s">
        <v>229</v>
      </c>
      <c r="E32" s="7" t="s">
        <v>242</v>
      </c>
      <c r="F32" s="7" t="s">
        <v>47</v>
      </c>
      <c r="G32" s="7" t="s">
        <v>35</v>
      </c>
      <c r="H32" s="10" t="s">
        <v>99</v>
      </c>
      <c r="I32" s="10" t="s">
        <v>243</v>
      </c>
      <c r="J32" s="10" t="s">
        <v>101</v>
      </c>
      <c r="K32" s="7" t="s">
        <v>39</v>
      </c>
      <c r="L32" s="7" t="s">
        <v>40</v>
      </c>
      <c r="M32" s="7" t="n">
        <v>404</v>
      </c>
      <c r="N32" s="7" t="s">
        <v>102</v>
      </c>
      <c r="O32" s="7" t="s">
        <v>42</v>
      </c>
      <c r="P32" s="7" t="s">
        <v>43</v>
      </c>
      <c r="Q32" s="7"/>
    </row>
    <row r="33" customFormat="false" ht="57" hidden="false" customHeight="true" outlineLevel="0" collapsed="false">
      <c r="A33" s="7" t="s">
        <v>244</v>
      </c>
      <c r="B33" s="7" t="s">
        <v>245</v>
      </c>
      <c r="C33" s="7" t="s">
        <v>31</v>
      </c>
      <c r="D33" s="7" t="s">
        <v>229</v>
      </c>
      <c r="E33" s="7" t="s">
        <v>246</v>
      </c>
      <c r="F33" s="7" t="s">
        <v>71</v>
      </c>
      <c r="G33" s="7" t="s">
        <v>35</v>
      </c>
      <c r="H33" s="10" t="s">
        <v>114</v>
      </c>
      <c r="I33" s="10" t="s">
        <v>247</v>
      </c>
      <c r="J33" s="10" t="s">
        <v>116</v>
      </c>
      <c r="K33" s="7" t="s">
        <v>39</v>
      </c>
      <c r="L33" s="7" t="s">
        <v>40</v>
      </c>
      <c r="M33" s="7" t="n">
        <v>401</v>
      </c>
      <c r="N33" s="7" t="s">
        <v>117</v>
      </c>
      <c r="O33" s="7" t="s">
        <v>42</v>
      </c>
      <c r="P33" s="7" t="s">
        <v>43</v>
      </c>
      <c r="Q33" s="7"/>
    </row>
    <row r="34" customFormat="false" ht="72" hidden="false" customHeight="true" outlineLevel="0" collapsed="false">
      <c r="A34" s="7" t="s">
        <v>248</v>
      </c>
      <c r="B34" s="7" t="s">
        <v>249</v>
      </c>
      <c r="C34" s="7" t="s">
        <v>31</v>
      </c>
      <c r="D34" s="7" t="s">
        <v>250</v>
      </c>
      <c r="E34" s="7" t="s">
        <v>251</v>
      </c>
      <c r="F34" s="7" t="s">
        <v>91</v>
      </c>
      <c r="G34" s="7" t="s">
        <v>35</v>
      </c>
      <c r="H34" s="10" t="s">
        <v>252</v>
      </c>
      <c r="I34" s="10" t="s">
        <v>253</v>
      </c>
      <c r="J34" s="10" t="s">
        <v>254</v>
      </c>
      <c r="K34" s="7" t="s">
        <v>39</v>
      </c>
      <c r="L34" s="7" t="s">
        <v>40</v>
      </c>
      <c r="M34" s="7" t="n">
        <v>200</v>
      </c>
      <c r="N34" s="7" t="s">
        <v>255</v>
      </c>
      <c r="O34" s="7" t="s">
        <v>42</v>
      </c>
      <c r="P34" s="7" t="s">
        <v>43</v>
      </c>
      <c r="Q34" s="7"/>
    </row>
    <row r="35" customFormat="false" ht="72" hidden="false" customHeight="true" outlineLevel="0" collapsed="false">
      <c r="A35" s="7" t="s">
        <v>256</v>
      </c>
      <c r="B35" s="7" t="s">
        <v>257</v>
      </c>
      <c r="C35" s="7" t="s">
        <v>31</v>
      </c>
      <c r="D35" s="7" t="s">
        <v>250</v>
      </c>
      <c r="E35" s="7" t="s">
        <v>258</v>
      </c>
      <c r="F35" s="7" t="s">
        <v>47</v>
      </c>
      <c r="G35" s="7" t="s">
        <v>35</v>
      </c>
      <c r="H35" s="10" t="s">
        <v>99</v>
      </c>
      <c r="I35" s="10" t="s">
        <v>259</v>
      </c>
      <c r="J35" s="10" t="s">
        <v>260</v>
      </c>
      <c r="K35" s="7" t="s">
        <v>39</v>
      </c>
      <c r="L35" s="7" t="s">
        <v>40</v>
      </c>
      <c r="M35" s="7" t="n">
        <v>404</v>
      </c>
      <c r="N35" s="7" t="s">
        <v>102</v>
      </c>
      <c r="O35" s="7" t="s">
        <v>42</v>
      </c>
      <c r="P35" s="7" t="s">
        <v>43</v>
      </c>
      <c r="Q35" s="7"/>
    </row>
    <row r="36" customFormat="false" ht="72" hidden="false" customHeight="true" outlineLevel="0" collapsed="false">
      <c r="A36" s="7" t="s">
        <v>261</v>
      </c>
      <c r="B36" s="7" t="s">
        <v>262</v>
      </c>
      <c r="C36" s="7" t="s">
        <v>31</v>
      </c>
      <c r="D36" s="7" t="s">
        <v>250</v>
      </c>
      <c r="E36" s="7" t="s">
        <v>263</v>
      </c>
      <c r="F36" s="7" t="s">
        <v>47</v>
      </c>
      <c r="G36" s="7" t="s">
        <v>35</v>
      </c>
      <c r="H36" s="10" t="s">
        <v>264</v>
      </c>
      <c r="I36" s="10" t="s">
        <v>265</v>
      </c>
      <c r="J36" s="10" t="s">
        <v>266</v>
      </c>
      <c r="K36" s="7" t="s">
        <v>39</v>
      </c>
      <c r="L36" s="7" t="s">
        <v>40</v>
      </c>
      <c r="M36" s="7" t="n">
        <v>400</v>
      </c>
      <c r="N36" s="7" t="s">
        <v>267</v>
      </c>
      <c r="O36" s="7" t="s">
        <v>42</v>
      </c>
      <c r="P36" s="7" t="s">
        <v>43</v>
      </c>
      <c r="Q36" s="7"/>
    </row>
    <row r="37" customFormat="false" ht="72" hidden="false" customHeight="true" outlineLevel="0" collapsed="false">
      <c r="A37" s="7" t="s">
        <v>268</v>
      </c>
      <c r="B37" s="7" t="s">
        <v>269</v>
      </c>
      <c r="C37" s="7" t="s">
        <v>31</v>
      </c>
      <c r="D37" s="7" t="s">
        <v>250</v>
      </c>
      <c r="E37" s="7" t="s">
        <v>270</v>
      </c>
      <c r="F37" s="7" t="s">
        <v>47</v>
      </c>
      <c r="G37" s="7" t="s">
        <v>35</v>
      </c>
      <c r="H37" s="10" t="s">
        <v>271</v>
      </c>
      <c r="I37" s="10" t="s">
        <v>272</v>
      </c>
      <c r="J37" s="10" t="s">
        <v>273</v>
      </c>
      <c r="K37" s="7" t="s">
        <v>39</v>
      </c>
      <c r="L37" s="7" t="s">
        <v>40</v>
      </c>
      <c r="M37" s="7" t="n">
        <v>400</v>
      </c>
      <c r="N37" s="7" t="s">
        <v>274</v>
      </c>
      <c r="O37" s="7" t="s">
        <v>42</v>
      </c>
      <c r="P37" s="7" t="s">
        <v>43</v>
      </c>
      <c r="Q37" s="7"/>
    </row>
    <row r="38" customFormat="false" ht="72" hidden="false" customHeight="true" outlineLevel="0" collapsed="false">
      <c r="A38" s="7" t="s">
        <v>275</v>
      </c>
      <c r="B38" s="7" t="s">
        <v>269</v>
      </c>
      <c r="C38" s="7" t="s">
        <v>31</v>
      </c>
      <c r="D38" s="7" t="s">
        <v>250</v>
      </c>
      <c r="E38" s="7" t="s">
        <v>276</v>
      </c>
      <c r="F38" s="7" t="s">
        <v>47</v>
      </c>
      <c r="G38" s="7" t="s">
        <v>35</v>
      </c>
      <c r="H38" s="10" t="s">
        <v>277</v>
      </c>
      <c r="I38" s="10" t="s">
        <v>278</v>
      </c>
      <c r="J38" s="10" t="s">
        <v>279</v>
      </c>
      <c r="K38" s="7" t="s">
        <v>39</v>
      </c>
      <c r="L38" s="7" t="s">
        <v>40</v>
      </c>
      <c r="M38" s="7" t="n">
        <v>400</v>
      </c>
      <c r="N38" s="7" t="s">
        <v>280</v>
      </c>
      <c r="O38" s="7" t="s">
        <v>42</v>
      </c>
      <c r="P38" s="7" t="s">
        <v>43</v>
      </c>
      <c r="Q38" s="7"/>
    </row>
    <row r="39" customFormat="false" ht="72" hidden="false" customHeight="true" outlineLevel="0" collapsed="false">
      <c r="A39" s="7" t="s">
        <v>281</v>
      </c>
      <c r="B39" s="7" t="s">
        <v>269</v>
      </c>
      <c r="C39" s="7" t="s">
        <v>31</v>
      </c>
      <c r="D39" s="7" t="s">
        <v>250</v>
      </c>
      <c r="E39" s="7" t="s">
        <v>282</v>
      </c>
      <c r="F39" s="7" t="s">
        <v>47</v>
      </c>
      <c r="G39" s="7" t="s">
        <v>35</v>
      </c>
      <c r="H39" s="10" t="s">
        <v>283</v>
      </c>
      <c r="I39" s="10" t="s">
        <v>284</v>
      </c>
      <c r="J39" s="10" t="s">
        <v>285</v>
      </c>
      <c r="K39" s="7" t="s">
        <v>39</v>
      </c>
      <c r="L39" s="7" t="s">
        <v>40</v>
      </c>
      <c r="M39" s="7" t="n">
        <v>400</v>
      </c>
      <c r="N39" s="7" t="s">
        <v>51</v>
      </c>
      <c r="O39" s="7" t="s">
        <v>42</v>
      </c>
      <c r="P39" s="7" t="s">
        <v>43</v>
      </c>
      <c r="Q39" s="7"/>
    </row>
    <row r="40" customFormat="false" ht="57" hidden="false" customHeight="true" outlineLevel="0" collapsed="false">
      <c r="A40" s="7" t="s">
        <v>286</v>
      </c>
      <c r="B40" s="7" t="s">
        <v>287</v>
      </c>
      <c r="C40" s="7" t="s">
        <v>31</v>
      </c>
      <c r="D40" s="7" t="s">
        <v>288</v>
      </c>
      <c r="E40" s="7" t="s">
        <v>289</v>
      </c>
      <c r="F40" s="7" t="s">
        <v>91</v>
      </c>
      <c r="G40" s="7" t="s">
        <v>35</v>
      </c>
      <c r="H40" s="10" t="s">
        <v>290</v>
      </c>
      <c r="I40" s="10" t="s">
        <v>291</v>
      </c>
      <c r="J40" s="10" t="s">
        <v>292</v>
      </c>
      <c r="K40" s="7" t="s">
        <v>39</v>
      </c>
      <c r="L40" s="7" t="s">
        <v>40</v>
      </c>
      <c r="M40" s="7" t="n">
        <v>200</v>
      </c>
      <c r="N40" s="7" t="s">
        <v>293</v>
      </c>
      <c r="O40" s="7" t="s">
        <v>42</v>
      </c>
      <c r="P40" s="7" t="s">
        <v>43</v>
      </c>
      <c r="Q40" s="7"/>
    </row>
    <row r="41" customFormat="false" ht="57" hidden="false" customHeight="true" outlineLevel="0" collapsed="false">
      <c r="A41" s="7" t="s">
        <v>294</v>
      </c>
      <c r="B41" s="7" t="s">
        <v>287</v>
      </c>
      <c r="C41" s="7" t="s">
        <v>31</v>
      </c>
      <c r="D41" s="7" t="s">
        <v>288</v>
      </c>
      <c r="E41" s="7" t="s">
        <v>295</v>
      </c>
      <c r="F41" s="7" t="s">
        <v>91</v>
      </c>
      <c r="G41" s="7" t="s">
        <v>35</v>
      </c>
      <c r="H41" s="10" t="s">
        <v>296</v>
      </c>
      <c r="I41" s="10" t="s">
        <v>297</v>
      </c>
      <c r="J41" s="10" t="s">
        <v>298</v>
      </c>
      <c r="K41" s="7" t="s">
        <v>39</v>
      </c>
      <c r="L41" s="7" t="s">
        <v>40</v>
      </c>
      <c r="M41" s="7" t="n">
        <v>200</v>
      </c>
      <c r="N41" s="7" t="s">
        <v>293</v>
      </c>
      <c r="O41" s="7" t="s">
        <v>42</v>
      </c>
      <c r="P41" s="7" t="s">
        <v>43</v>
      </c>
      <c r="Q41" s="7"/>
    </row>
    <row r="42" customFormat="false" ht="57" hidden="false" customHeight="true" outlineLevel="0" collapsed="false">
      <c r="A42" s="7" t="s">
        <v>299</v>
      </c>
      <c r="B42" s="7" t="s">
        <v>300</v>
      </c>
      <c r="C42" s="7" t="s">
        <v>31</v>
      </c>
      <c r="D42" s="7" t="s">
        <v>288</v>
      </c>
      <c r="E42" s="7" t="s">
        <v>301</v>
      </c>
      <c r="F42" s="7" t="s">
        <v>47</v>
      </c>
      <c r="G42" s="7" t="s">
        <v>302</v>
      </c>
      <c r="H42" s="10" t="s">
        <v>99</v>
      </c>
      <c r="I42" s="10" t="s">
        <v>303</v>
      </c>
      <c r="J42" s="10" t="s">
        <v>101</v>
      </c>
      <c r="K42" s="7" t="s">
        <v>39</v>
      </c>
      <c r="L42" s="7" t="s">
        <v>40</v>
      </c>
      <c r="M42" s="7" t="n">
        <v>404</v>
      </c>
      <c r="N42" s="7" t="s">
        <v>102</v>
      </c>
      <c r="O42" s="7" t="s">
        <v>42</v>
      </c>
      <c r="P42" s="7" t="s">
        <v>43</v>
      </c>
      <c r="Q42" s="7"/>
    </row>
    <row r="43" customFormat="false" ht="57" hidden="false" customHeight="true" outlineLevel="0" collapsed="false">
      <c r="A43" s="7" t="s">
        <v>304</v>
      </c>
      <c r="B43" s="7" t="s">
        <v>300</v>
      </c>
      <c r="C43" s="7" t="s">
        <v>31</v>
      </c>
      <c r="D43" s="7" t="s">
        <v>288</v>
      </c>
      <c r="E43" s="7" t="s">
        <v>305</v>
      </c>
      <c r="F43" s="7" t="s">
        <v>47</v>
      </c>
      <c r="G43" s="7" t="s">
        <v>302</v>
      </c>
      <c r="H43" s="10" t="s">
        <v>139</v>
      </c>
      <c r="I43" s="10" t="s">
        <v>306</v>
      </c>
      <c r="J43" s="10" t="s">
        <v>307</v>
      </c>
      <c r="K43" s="7" t="s">
        <v>39</v>
      </c>
      <c r="L43" s="7" t="s">
        <v>40</v>
      </c>
      <c r="M43" s="7" t="n">
        <v>400</v>
      </c>
      <c r="N43" s="7" t="s">
        <v>142</v>
      </c>
      <c r="O43" s="7" t="s">
        <v>42</v>
      </c>
      <c r="P43" s="7" t="s">
        <v>43</v>
      </c>
      <c r="Q43" s="7"/>
    </row>
    <row r="44" customFormat="false" ht="57" hidden="false" customHeight="true" outlineLevel="0" collapsed="false">
      <c r="A44" s="7" t="s">
        <v>308</v>
      </c>
      <c r="B44" s="7" t="s">
        <v>309</v>
      </c>
      <c r="C44" s="7" t="s">
        <v>31</v>
      </c>
      <c r="D44" s="7" t="s">
        <v>288</v>
      </c>
      <c r="E44" s="7" t="s">
        <v>310</v>
      </c>
      <c r="F44" s="7" t="s">
        <v>71</v>
      </c>
      <c r="G44" s="7" t="s">
        <v>302</v>
      </c>
      <c r="H44" s="10" t="s">
        <v>311</v>
      </c>
      <c r="I44" s="10" t="s">
        <v>312</v>
      </c>
      <c r="J44" s="10" t="s">
        <v>313</v>
      </c>
      <c r="K44" s="7" t="s">
        <v>39</v>
      </c>
      <c r="L44" s="7" t="s">
        <v>40</v>
      </c>
      <c r="M44" s="7" t="n">
        <v>401</v>
      </c>
      <c r="N44" s="7" t="s">
        <v>117</v>
      </c>
      <c r="O44" s="7" t="s">
        <v>42</v>
      </c>
      <c r="P44" s="7" t="s">
        <v>43</v>
      </c>
      <c r="Q44" s="7"/>
    </row>
    <row r="45" customFormat="false" ht="57" hidden="false" customHeight="true" outlineLevel="0" collapsed="false">
      <c r="A45" s="7" t="s">
        <v>314</v>
      </c>
      <c r="B45" s="7" t="s">
        <v>309</v>
      </c>
      <c r="C45" s="7" t="s">
        <v>31</v>
      </c>
      <c r="D45" s="7" t="s">
        <v>288</v>
      </c>
      <c r="E45" s="7" t="s">
        <v>315</v>
      </c>
      <c r="F45" s="7" t="s">
        <v>71</v>
      </c>
      <c r="G45" s="7" t="s">
        <v>302</v>
      </c>
      <c r="H45" s="10" t="s">
        <v>114</v>
      </c>
      <c r="I45" s="10" t="s">
        <v>316</v>
      </c>
      <c r="J45" s="10" t="s">
        <v>116</v>
      </c>
      <c r="K45" s="7" t="s">
        <v>39</v>
      </c>
      <c r="L45" s="7" t="s">
        <v>40</v>
      </c>
      <c r="M45" s="7" t="n">
        <v>401</v>
      </c>
      <c r="N45" s="7" t="s">
        <v>117</v>
      </c>
      <c r="O45" s="7" t="s">
        <v>42</v>
      </c>
      <c r="P45" s="7" t="s">
        <v>43</v>
      </c>
      <c r="Q45" s="7"/>
    </row>
    <row r="46" customFormat="false" ht="57" hidden="false" customHeight="true" outlineLevel="0" collapsed="false">
      <c r="A46" s="7" t="s">
        <v>317</v>
      </c>
      <c r="B46" s="7" t="s">
        <v>318</v>
      </c>
      <c r="C46" s="7" t="s">
        <v>31</v>
      </c>
      <c r="D46" s="7" t="s">
        <v>288</v>
      </c>
      <c r="E46" s="7" t="s">
        <v>319</v>
      </c>
      <c r="F46" s="7" t="s">
        <v>47</v>
      </c>
      <c r="G46" s="7" t="s">
        <v>302</v>
      </c>
      <c r="H46" s="10" t="s">
        <v>320</v>
      </c>
      <c r="I46" s="10" t="s">
        <v>321</v>
      </c>
      <c r="J46" s="10" t="s">
        <v>322</v>
      </c>
      <c r="K46" s="7" t="s">
        <v>39</v>
      </c>
      <c r="L46" s="7" t="s">
        <v>40</v>
      </c>
      <c r="M46" s="7" t="n">
        <v>400</v>
      </c>
      <c r="N46" s="7" t="s">
        <v>323</v>
      </c>
      <c r="O46" s="7" t="s">
        <v>42</v>
      </c>
      <c r="P46" s="7" t="s">
        <v>43</v>
      </c>
      <c r="Q46" s="7"/>
    </row>
    <row r="47" customFormat="false" ht="57" hidden="false" customHeight="true" outlineLevel="0" collapsed="false">
      <c r="A47" s="7" t="s">
        <v>324</v>
      </c>
      <c r="B47" s="7" t="s">
        <v>318</v>
      </c>
      <c r="C47" s="7" t="s">
        <v>31</v>
      </c>
      <c r="D47" s="7" t="s">
        <v>288</v>
      </c>
      <c r="E47" s="7" t="s">
        <v>325</v>
      </c>
      <c r="F47" s="7" t="s">
        <v>47</v>
      </c>
      <c r="G47" s="7" t="s">
        <v>302</v>
      </c>
      <c r="H47" s="10" t="s">
        <v>326</v>
      </c>
      <c r="I47" s="10" t="s">
        <v>327</v>
      </c>
      <c r="J47" s="10" t="s">
        <v>328</v>
      </c>
      <c r="K47" s="7" t="s">
        <v>39</v>
      </c>
      <c r="L47" s="7" t="s">
        <v>40</v>
      </c>
      <c r="M47" s="7" t="n">
        <v>400</v>
      </c>
      <c r="N47" s="7" t="s">
        <v>329</v>
      </c>
      <c r="O47" s="7" t="s">
        <v>42</v>
      </c>
      <c r="P47" s="7" t="s">
        <v>43</v>
      </c>
      <c r="Q47" s="7"/>
    </row>
    <row r="48" customFormat="false" ht="57" hidden="false" customHeight="true" outlineLevel="0" collapsed="false">
      <c r="A48" s="7" t="s">
        <v>330</v>
      </c>
      <c r="B48" s="7" t="s">
        <v>318</v>
      </c>
      <c r="C48" s="7" t="s">
        <v>31</v>
      </c>
      <c r="D48" s="7" t="s">
        <v>288</v>
      </c>
      <c r="E48" s="7" t="s">
        <v>331</v>
      </c>
      <c r="F48" s="7" t="s">
        <v>47</v>
      </c>
      <c r="G48" s="7" t="s">
        <v>302</v>
      </c>
      <c r="H48" s="10" t="s">
        <v>332</v>
      </c>
      <c r="I48" s="10" t="s">
        <v>333</v>
      </c>
      <c r="J48" s="10" t="s">
        <v>334</v>
      </c>
      <c r="K48" s="7" t="s">
        <v>39</v>
      </c>
      <c r="L48" s="7" t="s">
        <v>40</v>
      </c>
      <c r="M48" s="7" t="n">
        <v>400</v>
      </c>
      <c r="N48" s="7" t="s">
        <v>335</v>
      </c>
      <c r="O48" s="7" t="s">
        <v>42</v>
      </c>
      <c r="P48" s="7" t="s">
        <v>43</v>
      </c>
      <c r="Q48" s="7"/>
    </row>
    <row r="49" customFormat="false" ht="57" hidden="false" customHeight="true" outlineLevel="0" collapsed="false">
      <c r="A49" s="7" t="s">
        <v>336</v>
      </c>
      <c r="B49" s="7" t="s">
        <v>337</v>
      </c>
      <c r="C49" s="7" t="s">
        <v>31</v>
      </c>
      <c r="D49" s="7" t="s">
        <v>338</v>
      </c>
      <c r="E49" s="7" t="s">
        <v>339</v>
      </c>
      <c r="F49" s="7" t="s">
        <v>91</v>
      </c>
      <c r="G49" s="7" t="s">
        <v>302</v>
      </c>
      <c r="H49" s="10" t="s">
        <v>340</v>
      </c>
      <c r="I49" s="10" t="s">
        <v>341</v>
      </c>
      <c r="J49" s="10" t="s">
        <v>342</v>
      </c>
      <c r="K49" s="7" t="s">
        <v>39</v>
      </c>
      <c r="L49" s="7" t="s">
        <v>40</v>
      </c>
      <c r="M49" s="7" t="n">
        <v>200</v>
      </c>
      <c r="N49" s="7" t="s">
        <v>343</v>
      </c>
      <c r="O49" s="7" t="s">
        <v>42</v>
      </c>
      <c r="P49" s="7" t="s">
        <v>43</v>
      </c>
      <c r="Q49" s="7"/>
    </row>
    <row r="50" customFormat="false" ht="57" hidden="false" customHeight="true" outlineLevel="0" collapsed="false">
      <c r="A50" s="7" t="s">
        <v>344</v>
      </c>
      <c r="B50" s="7" t="s">
        <v>337</v>
      </c>
      <c r="C50" s="7" t="s">
        <v>31</v>
      </c>
      <c r="D50" s="7" t="s">
        <v>89</v>
      </c>
      <c r="E50" s="7" t="s">
        <v>345</v>
      </c>
      <c r="F50" s="7" t="s">
        <v>91</v>
      </c>
      <c r="G50" s="7" t="s">
        <v>302</v>
      </c>
      <c r="H50" s="10" t="s">
        <v>346</v>
      </c>
      <c r="I50" s="10" t="s">
        <v>347</v>
      </c>
      <c r="J50" s="10" t="s">
        <v>348</v>
      </c>
      <c r="K50" s="7" t="s">
        <v>39</v>
      </c>
      <c r="L50" s="7" t="s">
        <v>40</v>
      </c>
      <c r="M50" s="7" t="n">
        <v>404</v>
      </c>
      <c r="N50" s="7" t="s">
        <v>208</v>
      </c>
      <c r="O50" s="7" t="s">
        <v>42</v>
      </c>
      <c r="P50" s="7" t="s">
        <v>43</v>
      </c>
      <c r="Q50" s="7"/>
    </row>
    <row r="51" customFormat="false" ht="57" hidden="false" customHeight="true" outlineLevel="0" collapsed="false">
      <c r="A51" s="7" t="s">
        <v>349</v>
      </c>
      <c r="B51" s="7" t="s">
        <v>350</v>
      </c>
      <c r="C51" s="7" t="s">
        <v>31</v>
      </c>
      <c r="D51" s="7" t="s">
        <v>338</v>
      </c>
      <c r="E51" s="7" t="s">
        <v>351</v>
      </c>
      <c r="F51" s="7" t="s">
        <v>47</v>
      </c>
      <c r="G51" s="7" t="s">
        <v>302</v>
      </c>
      <c r="H51" s="10" t="s">
        <v>99</v>
      </c>
      <c r="I51" s="10" t="s">
        <v>352</v>
      </c>
      <c r="J51" s="10" t="s">
        <v>101</v>
      </c>
      <c r="K51" s="7" t="s">
        <v>39</v>
      </c>
      <c r="L51" s="7" t="s">
        <v>40</v>
      </c>
      <c r="M51" s="7" t="n">
        <v>404</v>
      </c>
      <c r="N51" s="7" t="s">
        <v>102</v>
      </c>
      <c r="O51" s="7" t="s">
        <v>42</v>
      </c>
      <c r="P51" s="7" t="s">
        <v>43</v>
      </c>
      <c r="Q51" s="7"/>
    </row>
    <row r="52" customFormat="false" ht="57" hidden="false" customHeight="true" outlineLevel="0" collapsed="false">
      <c r="A52" s="7" t="s">
        <v>353</v>
      </c>
      <c r="B52" s="7" t="s">
        <v>350</v>
      </c>
      <c r="C52" s="7" t="s">
        <v>31</v>
      </c>
      <c r="D52" s="7" t="s">
        <v>338</v>
      </c>
      <c r="E52" s="7" t="s">
        <v>354</v>
      </c>
      <c r="F52" s="7" t="s">
        <v>47</v>
      </c>
      <c r="G52" s="7" t="s">
        <v>302</v>
      </c>
      <c r="H52" s="10" t="s">
        <v>139</v>
      </c>
      <c r="I52" s="10" t="s">
        <v>355</v>
      </c>
      <c r="J52" s="10" t="s">
        <v>307</v>
      </c>
      <c r="K52" s="7" t="s">
        <v>39</v>
      </c>
      <c r="L52" s="7" t="s">
        <v>40</v>
      </c>
      <c r="M52" s="7" t="n">
        <v>400</v>
      </c>
      <c r="N52" s="7" t="s">
        <v>142</v>
      </c>
      <c r="O52" s="7" t="s">
        <v>42</v>
      </c>
      <c r="P52" s="7" t="s">
        <v>43</v>
      </c>
      <c r="Q52" s="7"/>
    </row>
    <row r="53" customFormat="false" ht="57" hidden="false" customHeight="true" outlineLevel="0" collapsed="false">
      <c r="A53" s="7" t="s">
        <v>356</v>
      </c>
      <c r="B53" s="7" t="s">
        <v>357</v>
      </c>
      <c r="C53" s="7" t="s">
        <v>31</v>
      </c>
      <c r="D53" s="7" t="s">
        <v>338</v>
      </c>
      <c r="E53" s="7" t="s">
        <v>358</v>
      </c>
      <c r="F53" s="7" t="s">
        <v>71</v>
      </c>
      <c r="G53" s="7" t="s">
        <v>302</v>
      </c>
      <c r="H53" s="10" t="s">
        <v>311</v>
      </c>
      <c r="I53" s="10" t="s">
        <v>359</v>
      </c>
      <c r="J53" s="10" t="s">
        <v>313</v>
      </c>
      <c r="K53" s="7" t="s">
        <v>39</v>
      </c>
      <c r="L53" s="7" t="s">
        <v>40</v>
      </c>
      <c r="M53" s="7" t="n">
        <v>401</v>
      </c>
      <c r="N53" s="7" t="s">
        <v>117</v>
      </c>
      <c r="O53" s="7" t="s">
        <v>42</v>
      </c>
      <c r="P53" s="7" t="s">
        <v>43</v>
      </c>
      <c r="Q53" s="7"/>
    </row>
    <row r="54" customFormat="false" ht="57" hidden="false" customHeight="true" outlineLevel="0" collapsed="false">
      <c r="A54" s="7" t="s">
        <v>360</v>
      </c>
      <c r="B54" s="7" t="s">
        <v>357</v>
      </c>
      <c r="C54" s="7" t="s">
        <v>31</v>
      </c>
      <c r="D54" s="7" t="s">
        <v>338</v>
      </c>
      <c r="E54" s="7" t="s">
        <v>361</v>
      </c>
      <c r="F54" s="7" t="s">
        <v>71</v>
      </c>
      <c r="G54" s="7" t="s">
        <v>302</v>
      </c>
      <c r="H54" s="10" t="s">
        <v>114</v>
      </c>
      <c r="I54" s="10" t="s">
        <v>362</v>
      </c>
      <c r="J54" s="10" t="s">
        <v>116</v>
      </c>
      <c r="K54" s="7" t="s">
        <v>39</v>
      </c>
      <c r="L54" s="7" t="s">
        <v>40</v>
      </c>
      <c r="M54" s="7" t="n">
        <v>401</v>
      </c>
      <c r="N54" s="7" t="s">
        <v>117</v>
      </c>
      <c r="O54" s="7" t="s">
        <v>42</v>
      </c>
      <c r="P54" s="7" t="s">
        <v>43</v>
      </c>
      <c r="Q54" s="7"/>
    </row>
    <row r="55" customFormat="false" ht="57" hidden="false" customHeight="true" outlineLevel="0" collapsed="false">
      <c r="A55" s="7" t="s">
        <v>363</v>
      </c>
      <c r="B55" s="7" t="s">
        <v>357</v>
      </c>
      <c r="C55" s="7" t="s">
        <v>31</v>
      </c>
      <c r="D55" s="7" t="s">
        <v>338</v>
      </c>
      <c r="E55" s="7" t="s">
        <v>364</v>
      </c>
      <c r="F55" s="7" t="s">
        <v>71</v>
      </c>
      <c r="G55" s="7" t="s">
        <v>302</v>
      </c>
      <c r="H55" s="10" t="s">
        <v>120</v>
      </c>
      <c r="I55" s="10" t="s">
        <v>365</v>
      </c>
      <c r="J55" s="10" t="s">
        <v>366</v>
      </c>
      <c r="K55" s="7" t="s">
        <v>39</v>
      </c>
      <c r="L55" s="7" t="s">
        <v>40</v>
      </c>
      <c r="M55" s="7" t="n">
        <v>401</v>
      </c>
      <c r="N55" s="7" t="s">
        <v>123</v>
      </c>
      <c r="O55" s="7" t="s">
        <v>42</v>
      </c>
      <c r="P55" s="7" t="s">
        <v>43</v>
      </c>
      <c r="Q55" s="7"/>
      <c r="R55" s="7" t="s">
        <v>367</v>
      </c>
    </row>
    <row r="56" customFormat="false" ht="57" hidden="false" customHeight="true" outlineLevel="0" collapsed="false">
      <c r="A56" s="7" t="s">
        <v>368</v>
      </c>
      <c r="B56" s="7" t="s">
        <v>369</v>
      </c>
      <c r="C56" s="7" t="s">
        <v>370</v>
      </c>
      <c r="D56" s="7" t="s">
        <v>371</v>
      </c>
      <c r="E56" s="7" t="s">
        <v>372</v>
      </c>
      <c r="F56" s="7" t="s">
        <v>91</v>
      </c>
      <c r="G56" s="7" t="s">
        <v>302</v>
      </c>
      <c r="H56" s="10" t="s">
        <v>373</v>
      </c>
      <c r="I56" s="10" t="s">
        <v>374</v>
      </c>
      <c r="J56" s="10" t="s">
        <v>375</v>
      </c>
      <c r="K56" s="7" t="s">
        <v>39</v>
      </c>
      <c r="L56" s="7" t="s">
        <v>40</v>
      </c>
      <c r="M56" s="7" t="n">
        <v>200</v>
      </c>
      <c r="N56" s="7" t="s">
        <v>376</v>
      </c>
      <c r="O56" s="7" t="s">
        <v>42</v>
      </c>
      <c r="P56" s="7" t="s">
        <v>43</v>
      </c>
      <c r="Q56" s="7"/>
    </row>
    <row r="57" customFormat="false" ht="72" hidden="false" customHeight="true" outlineLevel="0" collapsed="false">
      <c r="A57" s="7" t="s">
        <v>377</v>
      </c>
      <c r="B57" s="7" t="s">
        <v>369</v>
      </c>
      <c r="C57" s="7" t="s">
        <v>370</v>
      </c>
      <c r="D57" s="7" t="s">
        <v>371</v>
      </c>
      <c r="E57" s="7" t="s">
        <v>378</v>
      </c>
      <c r="F57" s="7" t="s">
        <v>91</v>
      </c>
      <c r="G57" s="7" t="s">
        <v>302</v>
      </c>
      <c r="H57" s="10" t="s">
        <v>379</v>
      </c>
      <c r="I57" s="10" t="s">
        <v>380</v>
      </c>
      <c r="J57" s="10" t="s">
        <v>381</v>
      </c>
      <c r="K57" s="7" t="s">
        <v>39</v>
      </c>
      <c r="L57" s="7" t="s">
        <v>40</v>
      </c>
      <c r="M57" s="7" t="n">
        <v>200</v>
      </c>
      <c r="N57" s="7" t="s">
        <v>382</v>
      </c>
      <c r="O57" s="7" t="s">
        <v>42</v>
      </c>
      <c r="P57" s="7" t="s">
        <v>43</v>
      </c>
      <c r="Q57" s="7"/>
    </row>
    <row r="58" customFormat="false" ht="57" hidden="false" customHeight="true" outlineLevel="0" collapsed="false">
      <c r="A58" s="7" t="s">
        <v>383</v>
      </c>
      <c r="B58" s="7" t="s">
        <v>384</v>
      </c>
      <c r="C58" s="7" t="s">
        <v>370</v>
      </c>
      <c r="D58" s="7" t="s">
        <v>371</v>
      </c>
      <c r="E58" s="7" t="s">
        <v>385</v>
      </c>
      <c r="F58" s="7" t="s">
        <v>47</v>
      </c>
      <c r="G58" s="7" t="s">
        <v>302</v>
      </c>
      <c r="H58" s="10" t="s">
        <v>386</v>
      </c>
      <c r="I58" s="10" t="s">
        <v>387</v>
      </c>
      <c r="J58" s="10" t="s">
        <v>388</v>
      </c>
      <c r="K58" s="7" t="s">
        <v>39</v>
      </c>
      <c r="L58" s="7" t="s">
        <v>40</v>
      </c>
      <c r="M58" s="7" t="n">
        <v>400</v>
      </c>
      <c r="N58" s="7" t="s">
        <v>389</v>
      </c>
      <c r="O58" s="7" t="s">
        <v>42</v>
      </c>
      <c r="P58" s="7" t="s">
        <v>43</v>
      </c>
      <c r="Q58" s="7"/>
    </row>
    <row r="59" customFormat="false" ht="57" hidden="false" customHeight="true" outlineLevel="0" collapsed="false">
      <c r="A59" s="7" t="s">
        <v>390</v>
      </c>
      <c r="B59" s="7" t="s">
        <v>384</v>
      </c>
      <c r="C59" s="7" t="s">
        <v>370</v>
      </c>
      <c r="D59" s="7" t="s">
        <v>371</v>
      </c>
      <c r="E59" s="7" t="s">
        <v>391</v>
      </c>
      <c r="F59" s="7" t="s">
        <v>47</v>
      </c>
      <c r="G59" s="7" t="s">
        <v>302</v>
      </c>
      <c r="H59" s="10" t="s">
        <v>392</v>
      </c>
      <c r="I59" s="10" t="s">
        <v>393</v>
      </c>
      <c r="J59" s="10" t="s">
        <v>394</v>
      </c>
      <c r="K59" s="7" t="s">
        <v>39</v>
      </c>
      <c r="L59" s="7" t="s">
        <v>40</v>
      </c>
      <c r="M59" s="7" t="n">
        <v>400</v>
      </c>
      <c r="N59" s="7" t="s">
        <v>395</v>
      </c>
      <c r="O59" s="7" t="s">
        <v>42</v>
      </c>
      <c r="P59" s="7" t="s">
        <v>43</v>
      </c>
      <c r="Q59" s="7"/>
    </row>
    <row r="60" customFormat="false" ht="57" hidden="false" customHeight="true" outlineLevel="0" collapsed="false">
      <c r="A60" s="7" t="s">
        <v>396</v>
      </c>
      <c r="B60" s="7" t="s">
        <v>384</v>
      </c>
      <c r="C60" s="7" t="s">
        <v>370</v>
      </c>
      <c r="D60" s="7" t="s">
        <v>371</v>
      </c>
      <c r="E60" s="7" t="s">
        <v>397</v>
      </c>
      <c r="F60" s="7" t="s">
        <v>47</v>
      </c>
      <c r="G60" s="7" t="s">
        <v>302</v>
      </c>
      <c r="H60" s="10" t="s">
        <v>398</v>
      </c>
      <c r="I60" s="10" t="s">
        <v>399</v>
      </c>
      <c r="J60" s="10" t="s">
        <v>400</v>
      </c>
      <c r="K60" s="7" t="s">
        <v>39</v>
      </c>
      <c r="L60" s="7" t="s">
        <v>40</v>
      </c>
      <c r="M60" s="7" t="n">
        <v>400</v>
      </c>
      <c r="N60" s="7" t="s">
        <v>401</v>
      </c>
      <c r="O60" s="7" t="s">
        <v>42</v>
      </c>
      <c r="P60" s="7" t="s">
        <v>43</v>
      </c>
      <c r="Q60" s="7"/>
    </row>
    <row r="61" customFormat="false" ht="72" hidden="false" customHeight="true" outlineLevel="0" collapsed="false">
      <c r="A61" s="7" t="s">
        <v>402</v>
      </c>
      <c r="B61" s="7" t="s">
        <v>403</v>
      </c>
      <c r="C61" s="7" t="s">
        <v>370</v>
      </c>
      <c r="D61" s="7" t="s">
        <v>371</v>
      </c>
      <c r="E61" s="7" t="s">
        <v>404</v>
      </c>
      <c r="F61" s="7" t="s">
        <v>47</v>
      </c>
      <c r="G61" s="7" t="s">
        <v>302</v>
      </c>
      <c r="H61" s="10" t="s">
        <v>405</v>
      </c>
      <c r="I61" s="10" t="s">
        <v>406</v>
      </c>
      <c r="J61" s="10" t="s">
        <v>407</v>
      </c>
      <c r="K61" s="7" t="s">
        <v>39</v>
      </c>
      <c r="L61" s="7" t="s">
        <v>40</v>
      </c>
      <c r="M61" s="7" t="n">
        <v>400</v>
      </c>
      <c r="N61" s="7" t="s">
        <v>408</v>
      </c>
      <c r="O61" s="7" t="s">
        <v>42</v>
      </c>
      <c r="P61" s="7" t="s">
        <v>43</v>
      </c>
      <c r="Q61" s="7"/>
    </row>
    <row r="62" customFormat="false" ht="72" hidden="false" customHeight="true" outlineLevel="0" collapsed="false">
      <c r="A62" s="7" t="s">
        <v>409</v>
      </c>
      <c r="B62" s="7" t="s">
        <v>403</v>
      </c>
      <c r="C62" s="7" t="s">
        <v>370</v>
      </c>
      <c r="D62" s="7" t="s">
        <v>371</v>
      </c>
      <c r="E62" s="7" t="s">
        <v>410</v>
      </c>
      <c r="F62" s="7" t="s">
        <v>47</v>
      </c>
      <c r="G62" s="7" t="s">
        <v>302</v>
      </c>
      <c r="H62" s="10" t="s">
        <v>411</v>
      </c>
      <c r="I62" s="10" t="s">
        <v>412</v>
      </c>
      <c r="J62" s="10" t="s">
        <v>413</v>
      </c>
      <c r="K62" s="7" t="s">
        <v>39</v>
      </c>
      <c r="L62" s="7" t="s">
        <v>40</v>
      </c>
      <c r="M62" s="7" t="n">
        <v>400</v>
      </c>
      <c r="N62" s="7" t="s">
        <v>408</v>
      </c>
      <c r="O62" s="7" t="s">
        <v>42</v>
      </c>
      <c r="P62" s="7" t="s">
        <v>43</v>
      </c>
      <c r="Q62" s="7"/>
    </row>
    <row r="63" customFormat="false" ht="72" hidden="false" customHeight="true" outlineLevel="0" collapsed="false">
      <c r="A63" s="7" t="s">
        <v>414</v>
      </c>
      <c r="B63" s="7" t="s">
        <v>403</v>
      </c>
      <c r="C63" s="7" t="s">
        <v>370</v>
      </c>
      <c r="D63" s="7" t="s">
        <v>371</v>
      </c>
      <c r="E63" s="7" t="s">
        <v>415</v>
      </c>
      <c r="F63" s="7" t="s">
        <v>47</v>
      </c>
      <c r="G63" s="7" t="s">
        <v>302</v>
      </c>
      <c r="H63" s="10" t="s">
        <v>416</v>
      </c>
      <c r="I63" s="10" t="s">
        <v>417</v>
      </c>
      <c r="J63" s="10" t="s">
        <v>418</v>
      </c>
      <c r="K63" s="7" t="s">
        <v>39</v>
      </c>
      <c r="L63" s="7" t="s">
        <v>40</v>
      </c>
      <c r="M63" s="7" t="n">
        <v>400</v>
      </c>
      <c r="N63" s="7" t="s">
        <v>408</v>
      </c>
      <c r="O63" s="7" t="s">
        <v>42</v>
      </c>
      <c r="P63" s="7" t="s">
        <v>43</v>
      </c>
      <c r="Q63" s="7"/>
    </row>
    <row r="64" customFormat="false" ht="57" hidden="false" customHeight="true" outlineLevel="0" collapsed="false">
      <c r="A64" s="7" t="s">
        <v>419</v>
      </c>
      <c r="B64" s="7" t="s">
        <v>420</v>
      </c>
      <c r="C64" s="7" t="s">
        <v>370</v>
      </c>
      <c r="D64" s="7" t="s">
        <v>421</v>
      </c>
      <c r="E64" s="7" t="s">
        <v>422</v>
      </c>
      <c r="F64" s="7" t="s">
        <v>91</v>
      </c>
      <c r="G64" s="7" t="s">
        <v>302</v>
      </c>
      <c r="H64" s="10" t="s">
        <v>423</v>
      </c>
      <c r="I64" s="10" t="s">
        <v>424</v>
      </c>
      <c r="J64" s="10" t="s">
        <v>425</v>
      </c>
      <c r="K64" s="7" t="s">
        <v>39</v>
      </c>
      <c r="L64" s="7" t="s">
        <v>40</v>
      </c>
      <c r="M64" s="7" t="n">
        <v>200</v>
      </c>
      <c r="N64" s="7" t="s">
        <v>426</v>
      </c>
      <c r="O64" s="7" t="s">
        <v>42</v>
      </c>
      <c r="P64" s="7" t="s">
        <v>43</v>
      </c>
      <c r="Q64" s="7"/>
    </row>
    <row r="65" customFormat="false" ht="57" hidden="false" customHeight="true" outlineLevel="0" collapsed="false">
      <c r="A65" s="7" t="s">
        <v>427</v>
      </c>
      <c r="B65" s="7" t="s">
        <v>428</v>
      </c>
      <c r="C65" s="7" t="s">
        <v>370</v>
      </c>
      <c r="D65" s="7" t="s">
        <v>421</v>
      </c>
      <c r="E65" s="7" t="s">
        <v>429</v>
      </c>
      <c r="F65" s="7" t="s">
        <v>47</v>
      </c>
      <c r="G65" s="7" t="s">
        <v>302</v>
      </c>
      <c r="H65" s="10" t="s">
        <v>430</v>
      </c>
      <c r="I65" s="10" t="s">
        <v>431</v>
      </c>
      <c r="J65" s="10" t="s">
        <v>432</v>
      </c>
      <c r="K65" s="7" t="s">
        <v>39</v>
      </c>
      <c r="L65" s="7" t="s">
        <v>40</v>
      </c>
      <c r="M65" s="7" t="n">
        <v>404</v>
      </c>
      <c r="N65" s="7" t="s">
        <v>433</v>
      </c>
      <c r="O65" s="7" t="s">
        <v>42</v>
      </c>
      <c r="P65" s="7" t="s">
        <v>43</v>
      </c>
      <c r="Q65" s="7"/>
    </row>
    <row r="66" customFormat="false" ht="57" hidden="false" customHeight="true" outlineLevel="0" collapsed="false">
      <c r="A66" s="7" t="s">
        <v>434</v>
      </c>
      <c r="B66" s="7" t="s">
        <v>428</v>
      </c>
      <c r="C66" s="7" t="s">
        <v>370</v>
      </c>
      <c r="D66" s="7" t="s">
        <v>421</v>
      </c>
      <c r="E66" s="7" t="s">
        <v>435</v>
      </c>
      <c r="F66" s="7" t="s">
        <v>47</v>
      </c>
      <c r="G66" s="7" t="s">
        <v>302</v>
      </c>
      <c r="H66" s="10" t="s">
        <v>436</v>
      </c>
      <c r="I66" s="10" t="s">
        <v>437</v>
      </c>
      <c r="J66" s="10" t="s">
        <v>438</v>
      </c>
      <c r="K66" s="7" t="s">
        <v>39</v>
      </c>
      <c r="L66" s="7" t="s">
        <v>40</v>
      </c>
      <c r="M66" s="7" t="n">
        <v>400</v>
      </c>
      <c r="N66" s="7" t="s">
        <v>439</v>
      </c>
      <c r="O66" s="7" t="s">
        <v>42</v>
      </c>
      <c r="P66" s="7" t="s">
        <v>43</v>
      </c>
      <c r="Q66" s="7"/>
    </row>
    <row r="67" customFormat="false" ht="57" hidden="false" customHeight="true" outlineLevel="0" collapsed="false">
      <c r="A67" s="7" t="s">
        <v>440</v>
      </c>
      <c r="B67" s="7" t="s">
        <v>441</v>
      </c>
      <c r="C67" s="7" t="s">
        <v>370</v>
      </c>
      <c r="D67" s="7" t="s">
        <v>421</v>
      </c>
      <c r="E67" s="7" t="s">
        <v>442</v>
      </c>
      <c r="F67" s="7" t="s">
        <v>71</v>
      </c>
      <c r="G67" s="7" t="s">
        <v>302</v>
      </c>
      <c r="H67" s="10" t="s">
        <v>443</v>
      </c>
      <c r="I67" s="10" t="s">
        <v>444</v>
      </c>
      <c r="J67" s="10" t="s">
        <v>445</v>
      </c>
      <c r="K67" s="7" t="s">
        <v>39</v>
      </c>
      <c r="L67" s="7" t="s">
        <v>40</v>
      </c>
      <c r="M67" s="7" t="n">
        <v>401</v>
      </c>
      <c r="N67" s="7" t="s">
        <v>446</v>
      </c>
      <c r="O67" s="7" t="s">
        <v>42</v>
      </c>
      <c r="P67" s="7" t="s">
        <v>43</v>
      </c>
      <c r="Q67" s="7"/>
    </row>
    <row r="68" customFormat="false" ht="57" hidden="false" customHeight="true" outlineLevel="0" collapsed="false">
      <c r="A68" s="7" t="s">
        <v>447</v>
      </c>
      <c r="B68" s="7" t="s">
        <v>441</v>
      </c>
      <c r="C68" s="7" t="s">
        <v>370</v>
      </c>
      <c r="D68" s="7" t="s">
        <v>421</v>
      </c>
      <c r="E68" s="7" t="s">
        <v>448</v>
      </c>
      <c r="F68" s="7" t="s">
        <v>71</v>
      </c>
      <c r="G68" s="7" t="s">
        <v>302</v>
      </c>
      <c r="H68" s="10" t="s">
        <v>449</v>
      </c>
      <c r="I68" s="10" t="s">
        <v>450</v>
      </c>
      <c r="J68" s="10" t="s">
        <v>451</v>
      </c>
      <c r="K68" s="7" t="s">
        <v>39</v>
      </c>
      <c r="L68" s="7" t="s">
        <v>40</v>
      </c>
      <c r="M68" s="7" t="n">
        <v>401</v>
      </c>
      <c r="N68" s="7" t="s">
        <v>446</v>
      </c>
      <c r="O68" s="7" t="s">
        <v>42</v>
      </c>
      <c r="P68" s="7" t="s">
        <v>43</v>
      </c>
      <c r="Q68" s="7"/>
    </row>
    <row r="69" customFormat="false" ht="57" hidden="false" customHeight="true" outlineLevel="0" collapsed="false">
      <c r="A69" s="7" t="s">
        <v>452</v>
      </c>
      <c r="B69" s="7" t="s">
        <v>453</v>
      </c>
      <c r="C69" s="7" t="s">
        <v>370</v>
      </c>
      <c r="D69" s="7" t="s">
        <v>454</v>
      </c>
      <c r="E69" s="7" t="s">
        <v>455</v>
      </c>
      <c r="F69" s="7" t="s">
        <v>91</v>
      </c>
      <c r="G69" s="7" t="s">
        <v>302</v>
      </c>
      <c r="H69" s="10" t="s">
        <v>456</v>
      </c>
      <c r="I69" s="10" t="s">
        <v>457</v>
      </c>
      <c r="J69" s="10" t="s">
        <v>458</v>
      </c>
      <c r="K69" s="7" t="s">
        <v>39</v>
      </c>
      <c r="L69" s="7" t="s">
        <v>40</v>
      </c>
      <c r="M69" s="7" t="n">
        <v>200</v>
      </c>
      <c r="N69" s="7" t="s">
        <v>459</v>
      </c>
      <c r="O69" s="7" t="s">
        <v>42</v>
      </c>
      <c r="P69" s="7" t="s">
        <v>43</v>
      </c>
      <c r="Q69" s="7"/>
    </row>
    <row r="70" customFormat="false" ht="57" hidden="false" customHeight="true" outlineLevel="0" collapsed="false">
      <c r="A70" s="7" t="s">
        <v>460</v>
      </c>
      <c r="B70" s="7" t="s">
        <v>453</v>
      </c>
      <c r="C70" s="7" t="s">
        <v>370</v>
      </c>
      <c r="D70" s="7" t="s">
        <v>454</v>
      </c>
      <c r="E70" s="7" t="s">
        <v>461</v>
      </c>
      <c r="F70" s="7" t="s">
        <v>91</v>
      </c>
      <c r="G70" s="7" t="s">
        <v>302</v>
      </c>
      <c r="H70" s="10" t="s">
        <v>462</v>
      </c>
      <c r="I70" s="10" t="s">
        <v>463</v>
      </c>
      <c r="J70" s="10" t="s">
        <v>464</v>
      </c>
      <c r="K70" s="7" t="s">
        <v>39</v>
      </c>
      <c r="L70" s="7" t="s">
        <v>40</v>
      </c>
      <c r="M70" s="7" t="n">
        <v>200</v>
      </c>
      <c r="N70" s="7" t="s">
        <v>465</v>
      </c>
      <c r="O70" s="7" t="s">
        <v>42</v>
      </c>
      <c r="P70" s="7" t="s">
        <v>43</v>
      </c>
      <c r="Q70" s="7"/>
    </row>
    <row r="71" customFormat="false" ht="57" hidden="false" customHeight="true" outlineLevel="0" collapsed="false">
      <c r="A71" s="7" t="s">
        <v>466</v>
      </c>
      <c r="B71" s="7" t="s">
        <v>467</v>
      </c>
      <c r="C71" s="7" t="s">
        <v>370</v>
      </c>
      <c r="D71" s="7" t="s">
        <v>454</v>
      </c>
      <c r="E71" s="7" t="s">
        <v>468</v>
      </c>
      <c r="F71" s="7" t="s">
        <v>47</v>
      </c>
      <c r="G71" s="7" t="s">
        <v>302</v>
      </c>
      <c r="H71" s="10" t="s">
        <v>430</v>
      </c>
      <c r="I71" s="10" t="s">
        <v>469</v>
      </c>
      <c r="J71" s="10" t="s">
        <v>470</v>
      </c>
      <c r="K71" s="7" t="s">
        <v>39</v>
      </c>
      <c r="L71" s="7" t="s">
        <v>40</v>
      </c>
      <c r="M71" s="7" t="n">
        <v>404</v>
      </c>
      <c r="N71" s="7" t="s">
        <v>471</v>
      </c>
      <c r="O71" s="7" t="s">
        <v>42</v>
      </c>
      <c r="P71" s="7" t="s">
        <v>43</v>
      </c>
      <c r="Q71" s="7"/>
    </row>
    <row r="72" customFormat="false" ht="57" hidden="false" customHeight="true" outlineLevel="0" collapsed="false">
      <c r="A72" s="7" t="s">
        <v>472</v>
      </c>
      <c r="B72" s="7" t="s">
        <v>467</v>
      </c>
      <c r="C72" s="7" t="s">
        <v>370</v>
      </c>
      <c r="D72" s="7" t="s">
        <v>454</v>
      </c>
      <c r="E72" s="7" t="s">
        <v>473</v>
      </c>
      <c r="F72" s="7" t="s">
        <v>47</v>
      </c>
      <c r="G72" s="7" t="s">
        <v>302</v>
      </c>
      <c r="H72" s="10" t="s">
        <v>436</v>
      </c>
      <c r="I72" s="10" t="s">
        <v>474</v>
      </c>
      <c r="J72" s="10" t="s">
        <v>475</v>
      </c>
      <c r="K72" s="7" t="s">
        <v>39</v>
      </c>
      <c r="L72" s="7" t="s">
        <v>40</v>
      </c>
      <c r="M72" s="7" t="n">
        <v>400</v>
      </c>
      <c r="N72" s="7" t="s">
        <v>142</v>
      </c>
      <c r="O72" s="7" t="s">
        <v>42</v>
      </c>
      <c r="P72" s="7" t="s">
        <v>43</v>
      </c>
      <c r="Q72" s="7"/>
    </row>
    <row r="73" customFormat="false" ht="57" hidden="false" customHeight="true" outlineLevel="0" collapsed="false">
      <c r="A73" s="7" t="s">
        <v>476</v>
      </c>
      <c r="B73" s="7" t="s">
        <v>477</v>
      </c>
      <c r="C73" s="7" t="s">
        <v>370</v>
      </c>
      <c r="D73" s="7" t="s">
        <v>454</v>
      </c>
      <c r="E73" s="7" t="s">
        <v>478</v>
      </c>
      <c r="F73" s="7" t="s">
        <v>47</v>
      </c>
      <c r="G73" s="7" t="s">
        <v>302</v>
      </c>
      <c r="H73" s="10" t="s">
        <v>479</v>
      </c>
      <c r="I73" s="10" t="s">
        <v>480</v>
      </c>
      <c r="J73" s="10" t="s">
        <v>481</v>
      </c>
      <c r="K73" s="7" t="s">
        <v>39</v>
      </c>
      <c r="L73" s="7" t="s">
        <v>40</v>
      </c>
      <c r="M73" s="7" t="n">
        <v>400</v>
      </c>
      <c r="N73" s="7" t="s">
        <v>280</v>
      </c>
      <c r="O73" s="7" t="s">
        <v>42</v>
      </c>
      <c r="P73" s="7" t="s">
        <v>43</v>
      </c>
      <c r="Q73" s="7"/>
    </row>
    <row r="74" customFormat="false" ht="57" hidden="false" customHeight="true" outlineLevel="0" collapsed="false">
      <c r="A74" s="7" t="s">
        <v>482</v>
      </c>
      <c r="B74" s="7" t="s">
        <v>477</v>
      </c>
      <c r="C74" s="7" t="s">
        <v>370</v>
      </c>
      <c r="D74" s="7" t="s">
        <v>454</v>
      </c>
      <c r="E74" s="7" t="s">
        <v>483</v>
      </c>
      <c r="F74" s="7" t="s">
        <v>47</v>
      </c>
      <c r="G74" s="7" t="s">
        <v>302</v>
      </c>
      <c r="H74" s="10" t="s">
        <v>484</v>
      </c>
      <c r="I74" s="10" t="s">
        <v>485</v>
      </c>
      <c r="J74" s="10" t="s">
        <v>486</v>
      </c>
      <c r="K74" s="7" t="s">
        <v>39</v>
      </c>
      <c r="L74" s="7" t="s">
        <v>40</v>
      </c>
      <c r="M74" s="7" t="n">
        <v>400</v>
      </c>
      <c r="N74" s="7" t="s">
        <v>487</v>
      </c>
      <c r="O74" s="7" t="s">
        <v>42</v>
      </c>
      <c r="P74" s="7" t="s">
        <v>43</v>
      </c>
      <c r="Q74" s="7"/>
    </row>
    <row r="75" customFormat="false" ht="57" hidden="false" customHeight="true" outlineLevel="0" collapsed="false">
      <c r="A75" s="7" t="s">
        <v>488</v>
      </c>
      <c r="B75" s="7" t="s">
        <v>477</v>
      </c>
      <c r="C75" s="7" t="s">
        <v>370</v>
      </c>
      <c r="D75" s="7" t="s">
        <v>454</v>
      </c>
      <c r="E75" s="7" t="s">
        <v>489</v>
      </c>
      <c r="F75" s="7" t="s">
        <v>47</v>
      </c>
      <c r="G75" s="7" t="s">
        <v>302</v>
      </c>
      <c r="H75" s="10" t="s">
        <v>490</v>
      </c>
      <c r="I75" s="10" t="s">
        <v>491</v>
      </c>
      <c r="J75" s="10" t="s">
        <v>492</v>
      </c>
      <c r="K75" s="7" t="s">
        <v>39</v>
      </c>
      <c r="L75" s="7" t="s">
        <v>40</v>
      </c>
      <c r="M75" s="7" t="n">
        <v>400</v>
      </c>
      <c r="N75" s="7" t="s">
        <v>280</v>
      </c>
      <c r="O75" s="7" t="s">
        <v>42</v>
      </c>
      <c r="P75" s="7" t="s">
        <v>43</v>
      </c>
      <c r="Q75" s="7"/>
    </row>
    <row r="76" customFormat="false" ht="57" hidden="false" customHeight="true" outlineLevel="0" collapsed="false">
      <c r="A76" s="7" t="s">
        <v>493</v>
      </c>
      <c r="B76" s="7" t="s">
        <v>494</v>
      </c>
      <c r="C76" s="7" t="s">
        <v>370</v>
      </c>
      <c r="D76" s="7" t="s">
        <v>495</v>
      </c>
      <c r="E76" s="7" t="s">
        <v>496</v>
      </c>
      <c r="F76" s="7" t="s">
        <v>91</v>
      </c>
      <c r="G76" s="7" t="s">
        <v>302</v>
      </c>
      <c r="H76" s="10" t="s">
        <v>497</v>
      </c>
      <c r="I76" s="10" t="s">
        <v>498</v>
      </c>
      <c r="J76" s="10" t="s">
        <v>499</v>
      </c>
      <c r="K76" s="7" t="s">
        <v>39</v>
      </c>
      <c r="L76" s="7" t="s">
        <v>40</v>
      </c>
      <c r="M76" s="7" t="n">
        <v>200</v>
      </c>
      <c r="N76" s="7" t="s">
        <v>500</v>
      </c>
      <c r="O76" s="7" t="s">
        <v>42</v>
      </c>
      <c r="P76" s="7" t="s">
        <v>43</v>
      </c>
      <c r="Q76" s="7"/>
    </row>
    <row r="77" customFormat="false" ht="57" hidden="false" customHeight="true" outlineLevel="0" collapsed="false">
      <c r="A77" s="7" t="s">
        <v>501</v>
      </c>
      <c r="B77" s="7" t="s">
        <v>494</v>
      </c>
      <c r="C77" s="7" t="s">
        <v>370</v>
      </c>
      <c r="D77" s="7" t="s">
        <v>495</v>
      </c>
      <c r="E77" s="7" t="s">
        <v>502</v>
      </c>
      <c r="F77" s="7" t="s">
        <v>91</v>
      </c>
      <c r="G77" s="7" t="s">
        <v>302</v>
      </c>
      <c r="H77" s="10" t="s">
        <v>503</v>
      </c>
      <c r="I77" s="10" t="s">
        <v>504</v>
      </c>
      <c r="J77" s="10" t="s">
        <v>505</v>
      </c>
      <c r="K77" s="7" t="s">
        <v>39</v>
      </c>
      <c r="L77" s="7" t="s">
        <v>40</v>
      </c>
      <c r="M77" s="7" t="n">
        <v>200</v>
      </c>
      <c r="N77" s="7" t="s">
        <v>500</v>
      </c>
      <c r="O77" s="7" t="s">
        <v>42</v>
      </c>
      <c r="P77" s="7" t="s">
        <v>43</v>
      </c>
      <c r="Q77" s="7"/>
    </row>
    <row r="78" customFormat="false" ht="57" hidden="false" customHeight="true" outlineLevel="0" collapsed="false">
      <c r="A78" s="7" t="s">
        <v>506</v>
      </c>
      <c r="B78" s="7" t="s">
        <v>507</v>
      </c>
      <c r="C78" s="7" t="s">
        <v>370</v>
      </c>
      <c r="D78" s="7" t="s">
        <v>495</v>
      </c>
      <c r="E78" s="7" t="s">
        <v>508</v>
      </c>
      <c r="F78" s="7" t="s">
        <v>47</v>
      </c>
      <c r="G78" s="7" t="s">
        <v>302</v>
      </c>
      <c r="H78" s="10" t="s">
        <v>430</v>
      </c>
      <c r="I78" s="10" t="s">
        <v>509</v>
      </c>
      <c r="J78" s="10" t="s">
        <v>432</v>
      </c>
      <c r="K78" s="7" t="s">
        <v>39</v>
      </c>
      <c r="L78" s="7" t="s">
        <v>40</v>
      </c>
      <c r="M78" s="7" t="n">
        <v>404</v>
      </c>
      <c r="N78" s="7" t="s">
        <v>471</v>
      </c>
      <c r="O78" s="7" t="s">
        <v>42</v>
      </c>
      <c r="P78" s="7" t="s">
        <v>43</v>
      </c>
      <c r="Q78" s="7"/>
    </row>
    <row r="79" customFormat="false" ht="57" hidden="false" customHeight="true" outlineLevel="0" collapsed="false">
      <c r="A79" s="7" t="s">
        <v>510</v>
      </c>
      <c r="B79" s="7" t="s">
        <v>511</v>
      </c>
      <c r="C79" s="7" t="s">
        <v>370</v>
      </c>
      <c r="D79" s="7" t="s">
        <v>495</v>
      </c>
      <c r="E79" s="7" t="s">
        <v>512</v>
      </c>
      <c r="F79" s="7" t="s">
        <v>71</v>
      </c>
      <c r="G79" s="7" t="s">
        <v>302</v>
      </c>
      <c r="H79" s="10" t="s">
        <v>449</v>
      </c>
      <c r="I79" s="10" t="s">
        <v>513</v>
      </c>
      <c r="J79" s="10" t="s">
        <v>451</v>
      </c>
      <c r="K79" s="7" t="s">
        <v>39</v>
      </c>
      <c r="L79" s="7" t="s">
        <v>40</v>
      </c>
      <c r="M79" s="7" t="n">
        <v>401</v>
      </c>
      <c r="N79" s="7" t="s">
        <v>117</v>
      </c>
      <c r="O79" s="7" t="s">
        <v>42</v>
      </c>
      <c r="P79" s="7" t="s">
        <v>43</v>
      </c>
      <c r="Q79" s="7"/>
    </row>
    <row r="80" customFormat="false" ht="57" hidden="false" customHeight="true" outlineLevel="0" collapsed="false">
      <c r="A80" s="7" t="s">
        <v>514</v>
      </c>
      <c r="B80" s="7" t="s">
        <v>515</v>
      </c>
      <c r="C80" s="7" t="s">
        <v>370</v>
      </c>
      <c r="D80" s="7" t="s">
        <v>516</v>
      </c>
      <c r="E80" s="7" t="s">
        <v>517</v>
      </c>
      <c r="F80" s="7" t="s">
        <v>91</v>
      </c>
      <c r="G80" s="7" t="s">
        <v>302</v>
      </c>
      <c r="H80" s="10" t="s">
        <v>518</v>
      </c>
      <c r="I80" s="10" t="s">
        <v>519</v>
      </c>
      <c r="J80" s="10" t="s">
        <v>520</v>
      </c>
      <c r="K80" s="7" t="s">
        <v>39</v>
      </c>
      <c r="L80" s="7" t="s">
        <v>40</v>
      </c>
      <c r="M80" s="7" t="n">
        <v>200</v>
      </c>
      <c r="N80" s="7" t="s">
        <v>521</v>
      </c>
      <c r="O80" s="7" t="s">
        <v>42</v>
      </c>
      <c r="P80" s="7" t="s">
        <v>43</v>
      </c>
      <c r="Q80" s="7"/>
    </row>
    <row r="81" customFormat="false" ht="57" hidden="false" customHeight="true" outlineLevel="0" collapsed="false">
      <c r="A81" s="7" t="s">
        <v>522</v>
      </c>
      <c r="B81" s="7" t="s">
        <v>523</v>
      </c>
      <c r="C81" s="7" t="s">
        <v>370</v>
      </c>
      <c r="D81" s="7" t="s">
        <v>516</v>
      </c>
      <c r="E81" s="7" t="s">
        <v>524</v>
      </c>
      <c r="F81" s="7" t="s">
        <v>47</v>
      </c>
      <c r="G81" s="7" t="s">
        <v>302</v>
      </c>
      <c r="H81" s="10" t="s">
        <v>430</v>
      </c>
      <c r="I81" s="10" t="s">
        <v>525</v>
      </c>
      <c r="J81" s="10" t="s">
        <v>432</v>
      </c>
      <c r="K81" s="7" t="s">
        <v>39</v>
      </c>
      <c r="L81" s="7" t="s">
        <v>40</v>
      </c>
      <c r="M81" s="7" t="n">
        <v>404</v>
      </c>
      <c r="N81" s="7" t="s">
        <v>471</v>
      </c>
      <c r="O81" s="7" t="s">
        <v>42</v>
      </c>
      <c r="P81" s="7" t="s">
        <v>43</v>
      </c>
      <c r="Q81" s="7"/>
    </row>
    <row r="82" customFormat="false" ht="57" hidden="false" customHeight="true" outlineLevel="0" collapsed="false">
      <c r="A82" s="7" t="s">
        <v>526</v>
      </c>
      <c r="B82" s="7" t="s">
        <v>527</v>
      </c>
      <c r="C82" s="7" t="s">
        <v>370</v>
      </c>
      <c r="D82" s="7" t="s">
        <v>516</v>
      </c>
      <c r="E82" s="7" t="s">
        <v>319</v>
      </c>
      <c r="F82" s="7" t="s">
        <v>47</v>
      </c>
      <c r="G82" s="7" t="s">
        <v>302</v>
      </c>
      <c r="H82" s="10" t="s">
        <v>528</v>
      </c>
      <c r="I82" s="10" t="s">
        <v>529</v>
      </c>
      <c r="J82" s="10" t="s">
        <v>530</v>
      </c>
      <c r="K82" s="7" t="s">
        <v>39</v>
      </c>
      <c r="L82" s="7" t="s">
        <v>40</v>
      </c>
      <c r="M82" s="7" t="n">
        <v>400</v>
      </c>
      <c r="N82" s="7" t="s">
        <v>531</v>
      </c>
      <c r="O82" s="7" t="s">
        <v>42</v>
      </c>
      <c r="P82" s="7" t="s">
        <v>43</v>
      </c>
      <c r="Q82" s="7"/>
    </row>
    <row r="83" customFormat="false" ht="57" hidden="false" customHeight="true" outlineLevel="0" collapsed="false">
      <c r="A83" s="7" t="s">
        <v>532</v>
      </c>
      <c r="B83" s="7" t="s">
        <v>533</v>
      </c>
      <c r="C83" s="7" t="s">
        <v>370</v>
      </c>
      <c r="D83" s="7" t="s">
        <v>516</v>
      </c>
      <c r="E83" s="7" t="s">
        <v>310</v>
      </c>
      <c r="F83" s="7" t="s">
        <v>71</v>
      </c>
      <c r="G83" s="7" t="s">
        <v>302</v>
      </c>
      <c r="H83" s="10" t="s">
        <v>443</v>
      </c>
      <c r="I83" s="10" t="s">
        <v>534</v>
      </c>
      <c r="J83" s="10" t="s">
        <v>445</v>
      </c>
      <c r="K83" s="7" t="s">
        <v>39</v>
      </c>
      <c r="L83" s="7" t="s">
        <v>40</v>
      </c>
      <c r="M83" s="7" t="n">
        <v>401</v>
      </c>
      <c r="N83" s="7" t="s">
        <v>117</v>
      </c>
      <c r="O83" s="7" t="s">
        <v>42</v>
      </c>
      <c r="P83" s="7" t="s">
        <v>43</v>
      </c>
      <c r="Q83" s="7"/>
    </row>
    <row r="84" customFormat="false" ht="57" hidden="false" customHeight="true" outlineLevel="0" collapsed="false">
      <c r="A84" s="7" t="s">
        <v>535</v>
      </c>
      <c r="B84" s="7" t="s">
        <v>536</v>
      </c>
      <c r="C84" s="7" t="s">
        <v>370</v>
      </c>
      <c r="D84" s="7" t="s">
        <v>537</v>
      </c>
      <c r="E84" s="7" t="s">
        <v>538</v>
      </c>
      <c r="F84" s="7" t="s">
        <v>91</v>
      </c>
      <c r="G84" s="7" t="s">
        <v>302</v>
      </c>
      <c r="H84" s="10" t="s">
        <v>539</v>
      </c>
      <c r="I84" s="10" t="s">
        <v>540</v>
      </c>
      <c r="J84" s="10" t="s">
        <v>541</v>
      </c>
      <c r="K84" s="7" t="s">
        <v>39</v>
      </c>
      <c r="L84" s="7" t="s">
        <v>40</v>
      </c>
      <c r="M84" s="7" t="n">
        <v>200</v>
      </c>
      <c r="N84" s="7" t="s">
        <v>542</v>
      </c>
      <c r="O84" s="7" t="s">
        <v>42</v>
      </c>
      <c r="P84" s="7" t="s">
        <v>43</v>
      </c>
      <c r="Q84" s="7"/>
    </row>
    <row r="85" customFormat="false" ht="57" hidden="false" customHeight="true" outlineLevel="0" collapsed="false">
      <c r="A85" s="7" t="s">
        <v>543</v>
      </c>
      <c r="B85" s="7" t="s">
        <v>536</v>
      </c>
      <c r="C85" s="7" t="s">
        <v>370</v>
      </c>
      <c r="D85" s="7" t="s">
        <v>537</v>
      </c>
      <c r="E85" s="7" t="s">
        <v>544</v>
      </c>
      <c r="F85" s="7" t="s">
        <v>91</v>
      </c>
      <c r="G85" s="7" t="s">
        <v>302</v>
      </c>
      <c r="H85" s="10" t="s">
        <v>545</v>
      </c>
      <c r="I85" s="10" t="s">
        <v>546</v>
      </c>
      <c r="J85" s="10" t="s">
        <v>547</v>
      </c>
      <c r="K85" s="7" t="s">
        <v>39</v>
      </c>
      <c r="L85" s="7" t="s">
        <v>40</v>
      </c>
      <c r="M85" s="7" t="n">
        <v>200</v>
      </c>
      <c r="N85" s="7" t="s">
        <v>548</v>
      </c>
      <c r="O85" s="7" t="s">
        <v>42</v>
      </c>
      <c r="P85" s="7" t="s">
        <v>43</v>
      </c>
      <c r="Q85" s="7"/>
    </row>
    <row r="86" customFormat="false" ht="57" hidden="false" customHeight="true" outlineLevel="0" collapsed="false">
      <c r="A86" s="7" t="s">
        <v>549</v>
      </c>
      <c r="B86" s="7" t="s">
        <v>550</v>
      </c>
      <c r="C86" s="7" t="s">
        <v>370</v>
      </c>
      <c r="D86" s="7" t="s">
        <v>537</v>
      </c>
      <c r="E86" s="7" t="s">
        <v>551</v>
      </c>
      <c r="F86" s="7" t="s">
        <v>91</v>
      </c>
      <c r="G86" s="7" t="s">
        <v>302</v>
      </c>
      <c r="H86" s="10" t="s">
        <v>552</v>
      </c>
      <c r="I86" s="10" t="s">
        <v>553</v>
      </c>
      <c r="J86" s="10" t="s">
        <v>554</v>
      </c>
      <c r="K86" s="7" t="s">
        <v>39</v>
      </c>
      <c r="L86" s="7" t="s">
        <v>40</v>
      </c>
      <c r="M86" s="7" t="n">
        <v>200</v>
      </c>
      <c r="N86" s="7" t="s">
        <v>542</v>
      </c>
      <c r="O86" s="7" t="s">
        <v>42</v>
      </c>
      <c r="P86" s="7" t="s">
        <v>43</v>
      </c>
      <c r="Q86" s="7"/>
    </row>
    <row r="87" customFormat="false" ht="57" hidden="false" customHeight="true" outlineLevel="0" collapsed="false">
      <c r="A87" s="7" t="s">
        <v>555</v>
      </c>
      <c r="B87" s="7" t="s">
        <v>556</v>
      </c>
      <c r="C87" s="7" t="s">
        <v>370</v>
      </c>
      <c r="D87" s="7" t="s">
        <v>537</v>
      </c>
      <c r="E87" s="7" t="s">
        <v>557</v>
      </c>
      <c r="F87" s="7" t="s">
        <v>47</v>
      </c>
      <c r="G87" s="7" t="s">
        <v>302</v>
      </c>
      <c r="H87" s="10" t="s">
        <v>430</v>
      </c>
      <c r="I87" s="10" t="s">
        <v>558</v>
      </c>
      <c r="J87" s="10" t="s">
        <v>559</v>
      </c>
      <c r="K87" s="7" t="s">
        <v>39</v>
      </c>
      <c r="L87" s="7" t="s">
        <v>40</v>
      </c>
      <c r="M87" s="7" t="n">
        <v>404</v>
      </c>
      <c r="N87" s="7" t="s">
        <v>471</v>
      </c>
      <c r="O87" s="7" t="s">
        <v>42</v>
      </c>
      <c r="P87" s="7" t="s">
        <v>43</v>
      </c>
      <c r="Q87" s="7"/>
    </row>
    <row r="88" customFormat="false" ht="57" hidden="false" customHeight="true" outlineLevel="0" collapsed="false">
      <c r="A88" s="7" t="s">
        <v>560</v>
      </c>
      <c r="B88" s="7" t="s">
        <v>556</v>
      </c>
      <c r="C88" s="7" t="s">
        <v>370</v>
      </c>
      <c r="D88" s="7" t="s">
        <v>537</v>
      </c>
      <c r="E88" s="7" t="s">
        <v>561</v>
      </c>
      <c r="F88" s="7" t="s">
        <v>47</v>
      </c>
      <c r="G88" s="7" t="s">
        <v>302</v>
      </c>
      <c r="H88" s="10" t="s">
        <v>490</v>
      </c>
      <c r="I88" s="10" t="s">
        <v>562</v>
      </c>
      <c r="J88" s="10" t="s">
        <v>563</v>
      </c>
      <c r="K88" s="7" t="s">
        <v>39</v>
      </c>
      <c r="L88" s="7" t="s">
        <v>40</v>
      </c>
      <c r="M88" s="7" t="n">
        <v>400</v>
      </c>
      <c r="N88" s="7" t="s">
        <v>280</v>
      </c>
      <c r="O88" s="7" t="s">
        <v>42</v>
      </c>
      <c r="P88" s="7" t="s">
        <v>43</v>
      </c>
      <c r="Q88" s="7"/>
    </row>
    <row r="89" customFormat="false" ht="72" hidden="false" customHeight="true" outlineLevel="0" collapsed="false">
      <c r="A89" s="7" t="s">
        <v>564</v>
      </c>
      <c r="B89" s="7" t="s">
        <v>565</v>
      </c>
      <c r="C89" s="7" t="s">
        <v>566</v>
      </c>
      <c r="D89" s="7" t="s">
        <v>567</v>
      </c>
      <c r="E89" s="7" t="s">
        <v>568</v>
      </c>
      <c r="F89" s="7" t="s">
        <v>91</v>
      </c>
      <c r="G89" s="7" t="s">
        <v>302</v>
      </c>
      <c r="H89" s="10" t="s">
        <v>569</v>
      </c>
      <c r="I89" s="10" t="s">
        <v>570</v>
      </c>
      <c r="J89" s="10" t="s">
        <v>571</v>
      </c>
      <c r="K89" s="7" t="s">
        <v>39</v>
      </c>
      <c r="L89" s="7" t="s">
        <v>40</v>
      </c>
      <c r="M89" s="7" t="n">
        <v>200</v>
      </c>
      <c r="N89" s="7" t="s">
        <v>572</v>
      </c>
      <c r="O89" s="7" t="s">
        <v>42</v>
      </c>
      <c r="P89" s="7" t="s">
        <v>43</v>
      </c>
      <c r="Q89" s="7"/>
    </row>
    <row r="90" customFormat="false" ht="57" hidden="false" customHeight="true" outlineLevel="0" collapsed="false">
      <c r="A90" s="7" t="s">
        <v>573</v>
      </c>
      <c r="B90" s="7" t="s">
        <v>574</v>
      </c>
      <c r="C90" s="7" t="s">
        <v>566</v>
      </c>
      <c r="D90" s="7" t="s">
        <v>567</v>
      </c>
      <c r="E90" s="7" t="s">
        <v>575</v>
      </c>
      <c r="F90" s="7" t="s">
        <v>47</v>
      </c>
      <c r="G90" s="7" t="s">
        <v>302</v>
      </c>
      <c r="H90" s="10" t="s">
        <v>576</v>
      </c>
      <c r="I90" s="10" t="s">
        <v>577</v>
      </c>
      <c r="J90" s="10" t="s">
        <v>578</v>
      </c>
      <c r="K90" s="7" t="s">
        <v>39</v>
      </c>
      <c r="L90" s="7" t="s">
        <v>40</v>
      </c>
      <c r="M90" s="7" t="n">
        <v>200</v>
      </c>
      <c r="N90" s="7" t="s">
        <v>579</v>
      </c>
      <c r="O90" s="7" t="s">
        <v>42</v>
      </c>
      <c r="P90" s="7" t="s">
        <v>43</v>
      </c>
      <c r="Q90" s="7"/>
    </row>
    <row r="91" customFormat="false" ht="57" hidden="false" customHeight="true" outlineLevel="0" collapsed="false">
      <c r="A91" s="7" t="s">
        <v>580</v>
      </c>
      <c r="B91" s="7" t="s">
        <v>574</v>
      </c>
      <c r="C91" s="7" t="s">
        <v>566</v>
      </c>
      <c r="D91" s="7" t="s">
        <v>567</v>
      </c>
      <c r="E91" s="7" t="s">
        <v>581</v>
      </c>
      <c r="F91" s="7" t="s">
        <v>47</v>
      </c>
      <c r="G91" s="7" t="s">
        <v>302</v>
      </c>
      <c r="H91" s="10" t="s">
        <v>582</v>
      </c>
      <c r="I91" s="10" t="s">
        <v>583</v>
      </c>
      <c r="J91" s="10" t="s">
        <v>584</v>
      </c>
      <c r="K91" s="7" t="s">
        <v>39</v>
      </c>
      <c r="L91" s="7" t="s">
        <v>40</v>
      </c>
      <c r="M91" s="7" t="n">
        <v>400</v>
      </c>
      <c r="N91" s="7" t="s">
        <v>585</v>
      </c>
      <c r="O91" s="7" t="s">
        <v>42</v>
      </c>
      <c r="P91" s="7" t="s">
        <v>43</v>
      </c>
      <c r="Q91" s="7"/>
    </row>
    <row r="92" customFormat="false" ht="57" hidden="false" customHeight="true" outlineLevel="0" collapsed="false">
      <c r="A92" s="7" t="s">
        <v>586</v>
      </c>
      <c r="B92" s="7" t="s">
        <v>587</v>
      </c>
      <c r="C92" s="7" t="s">
        <v>566</v>
      </c>
      <c r="D92" s="7" t="s">
        <v>567</v>
      </c>
      <c r="E92" s="7" t="s">
        <v>588</v>
      </c>
      <c r="F92" s="7" t="s">
        <v>71</v>
      </c>
      <c r="G92" s="7" t="s">
        <v>302</v>
      </c>
      <c r="H92" s="10" t="s">
        <v>589</v>
      </c>
      <c r="I92" s="10" t="s">
        <v>590</v>
      </c>
      <c r="J92" s="10" t="s">
        <v>591</v>
      </c>
      <c r="K92" s="7" t="s">
        <v>39</v>
      </c>
      <c r="L92" s="7" t="s">
        <v>40</v>
      </c>
      <c r="M92" s="7" t="n">
        <v>401</v>
      </c>
      <c r="N92" s="7" t="s">
        <v>117</v>
      </c>
      <c r="O92" s="7" t="s">
        <v>42</v>
      </c>
      <c r="P92" s="7" t="s">
        <v>43</v>
      </c>
      <c r="Q92" s="7"/>
    </row>
    <row r="93" customFormat="false" ht="57" hidden="false" customHeight="true" outlineLevel="0" collapsed="false">
      <c r="A93" s="7" t="s">
        <v>592</v>
      </c>
      <c r="B93" s="7" t="s">
        <v>593</v>
      </c>
      <c r="C93" s="7" t="s">
        <v>566</v>
      </c>
      <c r="D93" s="7" t="s">
        <v>594</v>
      </c>
      <c r="E93" s="7" t="s">
        <v>595</v>
      </c>
      <c r="F93" s="7" t="s">
        <v>91</v>
      </c>
      <c r="G93" s="7" t="s">
        <v>302</v>
      </c>
      <c r="H93" s="10" t="s">
        <v>596</v>
      </c>
      <c r="I93" s="10" t="s">
        <v>597</v>
      </c>
      <c r="J93" s="10" t="s">
        <v>598</v>
      </c>
      <c r="K93" s="7" t="s">
        <v>39</v>
      </c>
      <c r="L93" s="7" t="s">
        <v>40</v>
      </c>
      <c r="M93" s="7" t="n">
        <v>200</v>
      </c>
      <c r="N93" s="7" t="s">
        <v>599</v>
      </c>
      <c r="O93" s="7" t="s">
        <v>42</v>
      </c>
      <c r="P93" s="7" t="s">
        <v>43</v>
      </c>
      <c r="Q93" s="7"/>
    </row>
    <row r="94" customFormat="false" ht="57" hidden="false" customHeight="true" outlineLevel="0" collapsed="false">
      <c r="A94" s="7" t="s">
        <v>600</v>
      </c>
      <c r="B94" s="7" t="s">
        <v>601</v>
      </c>
      <c r="C94" s="7" t="s">
        <v>566</v>
      </c>
      <c r="D94" s="7" t="s">
        <v>594</v>
      </c>
      <c r="E94" s="7" t="s">
        <v>602</v>
      </c>
      <c r="F94" s="7" t="s">
        <v>47</v>
      </c>
      <c r="G94" s="7" t="s">
        <v>302</v>
      </c>
      <c r="H94" s="10" t="s">
        <v>603</v>
      </c>
      <c r="I94" s="10" t="s">
        <v>604</v>
      </c>
      <c r="J94" s="10" t="s">
        <v>605</v>
      </c>
      <c r="K94" s="7" t="s">
        <v>39</v>
      </c>
      <c r="L94" s="7" t="s">
        <v>40</v>
      </c>
      <c r="M94" s="7" t="n">
        <v>400</v>
      </c>
      <c r="N94" s="7" t="s">
        <v>142</v>
      </c>
      <c r="O94" s="7" t="s">
        <v>42</v>
      </c>
      <c r="P94" s="7" t="s">
        <v>43</v>
      </c>
      <c r="Q94" s="7"/>
    </row>
    <row r="95" customFormat="false" ht="57" hidden="false" customHeight="true" outlineLevel="0" collapsed="false">
      <c r="A95" s="7" t="s">
        <v>606</v>
      </c>
      <c r="B95" s="7" t="s">
        <v>607</v>
      </c>
      <c r="C95" s="7" t="s">
        <v>566</v>
      </c>
      <c r="D95" s="7" t="s">
        <v>594</v>
      </c>
      <c r="E95" s="7" t="s">
        <v>608</v>
      </c>
      <c r="F95" s="7" t="s">
        <v>71</v>
      </c>
      <c r="G95" s="7" t="s">
        <v>302</v>
      </c>
      <c r="H95" s="10" t="s">
        <v>609</v>
      </c>
      <c r="I95" s="10" t="s">
        <v>610</v>
      </c>
      <c r="J95" s="10" t="s">
        <v>611</v>
      </c>
      <c r="K95" s="7" t="s">
        <v>39</v>
      </c>
      <c r="L95" s="7" t="s">
        <v>40</v>
      </c>
      <c r="M95" s="7" t="n">
        <v>401</v>
      </c>
      <c r="N95" s="7" t="s">
        <v>117</v>
      </c>
      <c r="O95" s="7" t="s">
        <v>42</v>
      </c>
      <c r="P95" s="7" t="s">
        <v>43</v>
      </c>
      <c r="Q95" s="7"/>
    </row>
    <row r="96" customFormat="false" ht="57" hidden="false" customHeight="true" outlineLevel="0" collapsed="false">
      <c r="A96" s="7" t="s">
        <v>612</v>
      </c>
      <c r="B96" s="7" t="s">
        <v>613</v>
      </c>
      <c r="C96" s="7" t="s">
        <v>566</v>
      </c>
      <c r="D96" s="7" t="s">
        <v>594</v>
      </c>
      <c r="E96" s="7" t="s">
        <v>614</v>
      </c>
      <c r="F96" s="7" t="s">
        <v>47</v>
      </c>
      <c r="G96" s="7" t="s">
        <v>302</v>
      </c>
      <c r="H96" s="10" t="s">
        <v>615</v>
      </c>
      <c r="I96" s="10" t="s">
        <v>616</v>
      </c>
      <c r="J96" s="10" t="s">
        <v>617</v>
      </c>
      <c r="K96" s="7" t="s">
        <v>39</v>
      </c>
      <c r="L96" s="7" t="s">
        <v>40</v>
      </c>
      <c r="M96" s="7" t="n">
        <v>400</v>
      </c>
      <c r="N96" s="7" t="s">
        <v>618</v>
      </c>
      <c r="O96" s="7" t="s">
        <v>619</v>
      </c>
      <c r="P96" s="7" t="s">
        <v>620</v>
      </c>
      <c r="Q96" s="7" t="s">
        <v>621</v>
      </c>
    </row>
    <row r="97" customFormat="false" ht="57" hidden="false" customHeight="true" outlineLevel="0" collapsed="false">
      <c r="A97" s="7" t="s">
        <v>622</v>
      </c>
      <c r="B97" s="7" t="s">
        <v>613</v>
      </c>
      <c r="C97" s="7" t="s">
        <v>566</v>
      </c>
      <c r="D97" s="7" t="s">
        <v>594</v>
      </c>
      <c r="E97" s="7" t="s">
        <v>623</v>
      </c>
      <c r="F97" s="7" t="s">
        <v>47</v>
      </c>
      <c r="G97" s="7" t="s">
        <v>302</v>
      </c>
      <c r="H97" s="10" t="s">
        <v>624</v>
      </c>
      <c r="I97" s="10" t="s">
        <v>625</v>
      </c>
      <c r="J97" s="10" t="s">
        <v>626</v>
      </c>
      <c r="K97" s="7" t="s">
        <v>39</v>
      </c>
      <c r="L97" s="7" t="s">
        <v>40</v>
      </c>
      <c r="M97" s="7" t="n">
        <v>400</v>
      </c>
      <c r="N97" s="7" t="s">
        <v>618</v>
      </c>
      <c r="O97" s="12" t="s">
        <v>627</v>
      </c>
      <c r="P97" s="7" t="s">
        <v>620</v>
      </c>
      <c r="Q97" s="7" t="s">
        <v>628</v>
      </c>
    </row>
    <row r="98" customFormat="false" ht="57" hidden="false" customHeight="true" outlineLevel="0" collapsed="false">
      <c r="A98" s="7" t="s">
        <v>629</v>
      </c>
      <c r="B98" s="7" t="s">
        <v>613</v>
      </c>
      <c r="C98" s="7" t="s">
        <v>566</v>
      </c>
      <c r="D98" s="7" t="s">
        <v>594</v>
      </c>
      <c r="E98" s="7" t="s">
        <v>630</v>
      </c>
      <c r="F98" s="7" t="s">
        <v>631</v>
      </c>
      <c r="G98" s="7" t="s">
        <v>302</v>
      </c>
      <c r="H98" s="10" t="s">
        <v>632</v>
      </c>
      <c r="I98" s="10" t="s">
        <v>633</v>
      </c>
      <c r="J98" s="10" t="s">
        <v>634</v>
      </c>
      <c r="K98" s="7" t="s">
        <v>39</v>
      </c>
      <c r="L98" s="7" t="s">
        <v>40</v>
      </c>
      <c r="M98" s="7" t="n">
        <v>200</v>
      </c>
      <c r="N98" s="7" t="s">
        <v>635</v>
      </c>
      <c r="O98" s="7" t="s">
        <v>42</v>
      </c>
      <c r="P98" s="7" t="s">
        <v>43</v>
      </c>
      <c r="Q98" s="7"/>
    </row>
    <row r="99" customFormat="false" ht="57" hidden="false" customHeight="true" outlineLevel="0" collapsed="false">
      <c r="A99" s="7" t="s">
        <v>636</v>
      </c>
      <c r="B99" s="7" t="s">
        <v>637</v>
      </c>
      <c r="C99" s="7" t="s">
        <v>566</v>
      </c>
      <c r="D99" s="7" t="s">
        <v>638</v>
      </c>
      <c r="E99" s="7" t="s">
        <v>639</v>
      </c>
      <c r="F99" s="7" t="s">
        <v>91</v>
      </c>
      <c r="G99" s="7" t="s">
        <v>302</v>
      </c>
      <c r="H99" s="10" t="s">
        <v>640</v>
      </c>
      <c r="I99" s="10" t="s">
        <v>641</v>
      </c>
      <c r="J99" s="10" t="s">
        <v>642</v>
      </c>
      <c r="K99" s="7" t="s">
        <v>39</v>
      </c>
      <c r="L99" s="7" t="s">
        <v>40</v>
      </c>
      <c r="M99" s="7" t="n">
        <v>200</v>
      </c>
      <c r="N99" s="7" t="s">
        <v>643</v>
      </c>
      <c r="O99" s="7" t="s">
        <v>42</v>
      </c>
      <c r="P99" s="7" t="s">
        <v>43</v>
      </c>
      <c r="Q99" s="7"/>
    </row>
    <row r="100" customFormat="false" ht="57" hidden="false" customHeight="true" outlineLevel="0" collapsed="false">
      <c r="A100" s="7" t="s">
        <v>644</v>
      </c>
      <c r="B100" s="7" t="s">
        <v>637</v>
      </c>
      <c r="C100" s="7" t="s">
        <v>566</v>
      </c>
      <c r="D100" s="7" t="s">
        <v>638</v>
      </c>
      <c r="E100" s="7" t="s">
        <v>645</v>
      </c>
      <c r="F100" s="7" t="s">
        <v>91</v>
      </c>
      <c r="G100" s="7" t="s">
        <v>302</v>
      </c>
      <c r="H100" s="10" t="s">
        <v>646</v>
      </c>
      <c r="I100" s="10" t="s">
        <v>647</v>
      </c>
      <c r="J100" s="10" t="s">
        <v>648</v>
      </c>
      <c r="K100" s="7" t="s">
        <v>39</v>
      </c>
      <c r="L100" s="7" t="s">
        <v>40</v>
      </c>
      <c r="M100" s="7" t="n">
        <v>200</v>
      </c>
      <c r="N100" s="7" t="s">
        <v>643</v>
      </c>
      <c r="O100" s="7" t="s">
        <v>42</v>
      </c>
      <c r="P100" s="7" t="s">
        <v>43</v>
      </c>
      <c r="Q100" s="7"/>
    </row>
    <row r="101" customFormat="false" ht="57" hidden="false" customHeight="true" outlineLevel="0" collapsed="false">
      <c r="A101" s="7" t="s">
        <v>649</v>
      </c>
      <c r="B101" s="7" t="s">
        <v>650</v>
      </c>
      <c r="C101" s="7" t="s">
        <v>566</v>
      </c>
      <c r="D101" s="7" t="s">
        <v>638</v>
      </c>
      <c r="E101" s="7" t="s">
        <v>651</v>
      </c>
      <c r="F101" s="7" t="s">
        <v>47</v>
      </c>
      <c r="G101" s="7" t="s">
        <v>302</v>
      </c>
      <c r="H101" s="10" t="s">
        <v>603</v>
      </c>
      <c r="I101" s="10" t="s">
        <v>652</v>
      </c>
      <c r="J101" s="10" t="s">
        <v>653</v>
      </c>
      <c r="K101" s="7" t="s">
        <v>39</v>
      </c>
      <c r="L101" s="7" t="s">
        <v>40</v>
      </c>
      <c r="M101" s="7" t="n">
        <v>400</v>
      </c>
      <c r="N101" s="7" t="s">
        <v>142</v>
      </c>
      <c r="O101" s="7" t="s">
        <v>42</v>
      </c>
      <c r="P101" s="7" t="s">
        <v>43</v>
      </c>
      <c r="Q101" s="7"/>
    </row>
    <row r="102" customFormat="false" ht="57" hidden="false" customHeight="true" outlineLevel="0" collapsed="false">
      <c r="A102" s="7" t="s">
        <v>654</v>
      </c>
      <c r="B102" s="7" t="s">
        <v>655</v>
      </c>
      <c r="C102" s="7" t="s">
        <v>566</v>
      </c>
      <c r="D102" s="7" t="s">
        <v>638</v>
      </c>
      <c r="E102" s="7" t="s">
        <v>656</v>
      </c>
      <c r="F102" s="7" t="s">
        <v>47</v>
      </c>
      <c r="G102" s="7" t="s">
        <v>302</v>
      </c>
      <c r="H102" s="10" t="s">
        <v>657</v>
      </c>
      <c r="I102" s="10" t="s">
        <v>658</v>
      </c>
      <c r="J102" s="10" t="s">
        <v>659</v>
      </c>
      <c r="K102" s="7" t="s">
        <v>39</v>
      </c>
      <c r="L102" s="7" t="s">
        <v>40</v>
      </c>
      <c r="M102" s="7" t="n">
        <v>400</v>
      </c>
      <c r="N102" s="7" t="s">
        <v>280</v>
      </c>
      <c r="O102" s="7" t="s">
        <v>42</v>
      </c>
      <c r="P102" s="7" t="s">
        <v>43</v>
      </c>
      <c r="Q102" s="7"/>
    </row>
    <row r="103" customFormat="false" ht="57" hidden="false" customHeight="true" outlineLevel="0" collapsed="false">
      <c r="A103" s="7" t="s">
        <v>660</v>
      </c>
      <c r="B103" s="7" t="s">
        <v>655</v>
      </c>
      <c r="C103" s="7" t="s">
        <v>566</v>
      </c>
      <c r="D103" s="7" t="s">
        <v>638</v>
      </c>
      <c r="E103" s="7" t="s">
        <v>661</v>
      </c>
      <c r="F103" s="7" t="s">
        <v>47</v>
      </c>
      <c r="G103" s="7" t="s">
        <v>302</v>
      </c>
      <c r="H103" s="10" t="s">
        <v>662</v>
      </c>
      <c r="I103" s="10" t="s">
        <v>663</v>
      </c>
      <c r="J103" s="10" t="s">
        <v>664</v>
      </c>
      <c r="K103" s="7" t="s">
        <v>39</v>
      </c>
      <c r="L103" s="7" t="s">
        <v>40</v>
      </c>
      <c r="M103" s="7" t="n">
        <v>400</v>
      </c>
      <c r="N103" s="7" t="s">
        <v>665</v>
      </c>
      <c r="O103" s="7" t="s">
        <v>42</v>
      </c>
      <c r="P103" s="7" t="s">
        <v>43</v>
      </c>
      <c r="Q103" s="7"/>
    </row>
    <row r="104" customFormat="false" ht="57" hidden="false" customHeight="true" outlineLevel="0" collapsed="false">
      <c r="A104" s="7" t="s">
        <v>666</v>
      </c>
      <c r="B104" s="7" t="s">
        <v>655</v>
      </c>
      <c r="C104" s="7" t="s">
        <v>566</v>
      </c>
      <c r="D104" s="7" t="s">
        <v>638</v>
      </c>
      <c r="E104" s="7" t="s">
        <v>667</v>
      </c>
      <c r="F104" s="7" t="s">
        <v>47</v>
      </c>
      <c r="G104" s="7" t="s">
        <v>302</v>
      </c>
      <c r="H104" s="10" t="s">
        <v>668</v>
      </c>
      <c r="I104" s="10" t="s">
        <v>669</v>
      </c>
      <c r="J104" s="10" t="s">
        <v>670</v>
      </c>
      <c r="K104" s="7" t="s">
        <v>39</v>
      </c>
      <c r="L104" s="7" t="s">
        <v>40</v>
      </c>
      <c r="M104" s="7" t="n">
        <v>400</v>
      </c>
      <c r="N104" s="7" t="s">
        <v>280</v>
      </c>
      <c r="O104" s="7" t="s">
        <v>42</v>
      </c>
      <c r="P104" s="7" t="s">
        <v>43</v>
      </c>
      <c r="Q104" s="7"/>
    </row>
    <row r="105" customFormat="false" ht="57" hidden="false" customHeight="true" outlineLevel="0" collapsed="false">
      <c r="A105" s="7" t="s">
        <v>671</v>
      </c>
      <c r="B105" s="7" t="s">
        <v>672</v>
      </c>
      <c r="C105" s="7" t="s">
        <v>566</v>
      </c>
      <c r="D105" s="7" t="s">
        <v>638</v>
      </c>
      <c r="E105" s="7" t="s">
        <v>673</v>
      </c>
      <c r="F105" s="7" t="s">
        <v>91</v>
      </c>
      <c r="G105" s="7" t="s">
        <v>302</v>
      </c>
      <c r="H105" s="10" t="s">
        <v>674</v>
      </c>
      <c r="I105" s="10" t="s">
        <v>675</v>
      </c>
      <c r="J105" s="10" t="s">
        <v>676</v>
      </c>
      <c r="K105" s="7" t="s">
        <v>39</v>
      </c>
      <c r="L105" s="7" t="s">
        <v>40</v>
      </c>
      <c r="M105" s="7" t="n">
        <v>200</v>
      </c>
      <c r="N105" s="7" t="s">
        <v>643</v>
      </c>
      <c r="O105" s="7" t="s">
        <v>42</v>
      </c>
      <c r="P105" s="7" t="s">
        <v>43</v>
      </c>
      <c r="Q105" s="7"/>
    </row>
    <row r="106" customFormat="false" ht="57" hidden="false" customHeight="true" outlineLevel="0" collapsed="false">
      <c r="A106" s="7" t="s">
        <v>677</v>
      </c>
      <c r="B106" s="7" t="s">
        <v>678</v>
      </c>
      <c r="C106" s="7" t="s">
        <v>566</v>
      </c>
      <c r="D106" s="7" t="s">
        <v>679</v>
      </c>
      <c r="E106" s="7" t="s">
        <v>680</v>
      </c>
      <c r="F106" s="7" t="s">
        <v>91</v>
      </c>
      <c r="G106" s="7" t="s">
        <v>302</v>
      </c>
      <c r="H106" s="10" t="s">
        <v>681</v>
      </c>
      <c r="I106" s="10" t="s">
        <v>682</v>
      </c>
      <c r="J106" s="10" t="s">
        <v>683</v>
      </c>
      <c r="K106" s="7" t="s">
        <v>39</v>
      </c>
      <c r="L106" s="7" t="s">
        <v>40</v>
      </c>
      <c r="M106" s="7" t="n">
        <v>200</v>
      </c>
      <c r="N106" s="7" t="s">
        <v>684</v>
      </c>
      <c r="O106" s="7" t="s">
        <v>42</v>
      </c>
      <c r="P106" s="7" t="s">
        <v>43</v>
      </c>
      <c r="Q106" s="7"/>
    </row>
    <row r="107" customFormat="false" ht="57" hidden="false" customHeight="true" outlineLevel="0" collapsed="false">
      <c r="A107" s="7" t="s">
        <v>685</v>
      </c>
      <c r="B107" s="7" t="s">
        <v>686</v>
      </c>
      <c r="C107" s="7" t="s">
        <v>566</v>
      </c>
      <c r="D107" s="7" t="s">
        <v>687</v>
      </c>
      <c r="E107" s="7" t="s">
        <v>688</v>
      </c>
      <c r="F107" s="7" t="s">
        <v>91</v>
      </c>
      <c r="G107" s="7" t="s">
        <v>302</v>
      </c>
      <c r="H107" s="10" t="s">
        <v>689</v>
      </c>
      <c r="I107" s="10" t="s">
        <v>690</v>
      </c>
      <c r="J107" s="10" t="s">
        <v>691</v>
      </c>
      <c r="K107" s="7" t="s">
        <v>39</v>
      </c>
      <c r="L107" s="7" t="s">
        <v>40</v>
      </c>
      <c r="M107" s="7" t="n">
        <v>200</v>
      </c>
      <c r="N107" s="7" t="s">
        <v>692</v>
      </c>
      <c r="O107" s="7" t="s">
        <v>42</v>
      </c>
      <c r="P107" s="7" t="s">
        <v>43</v>
      </c>
      <c r="Q107" s="7"/>
    </row>
    <row r="108" customFormat="false" ht="57" hidden="false" customHeight="true" outlineLevel="0" collapsed="false">
      <c r="A108" s="7" t="s">
        <v>693</v>
      </c>
      <c r="B108" s="7" t="s">
        <v>694</v>
      </c>
      <c r="C108" s="7" t="s">
        <v>566</v>
      </c>
      <c r="D108" s="7" t="s">
        <v>695</v>
      </c>
      <c r="E108" s="7" t="s">
        <v>696</v>
      </c>
      <c r="F108" s="7" t="s">
        <v>91</v>
      </c>
      <c r="G108" s="7" t="s">
        <v>302</v>
      </c>
      <c r="H108" s="10" t="s">
        <v>697</v>
      </c>
      <c r="I108" s="10" t="s">
        <v>698</v>
      </c>
      <c r="J108" s="10" t="s">
        <v>699</v>
      </c>
      <c r="K108" s="7" t="s">
        <v>39</v>
      </c>
      <c r="L108" s="7" t="s">
        <v>40</v>
      </c>
      <c r="M108" s="7" t="n">
        <v>200</v>
      </c>
      <c r="N108" s="7" t="s">
        <v>700</v>
      </c>
      <c r="O108" s="7" t="s">
        <v>42</v>
      </c>
      <c r="P108" s="7" t="s">
        <v>43</v>
      </c>
      <c r="Q108" s="7"/>
    </row>
    <row r="109" customFormat="false" ht="57" hidden="false" customHeight="true" outlineLevel="0" collapsed="false">
      <c r="A109" s="7" t="s">
        <v>701</v>
      </c>
      <c r="B109" s="7" t="s">
        <v>702</v>
      </c>
      <c r="C109" s="7" t="s">
        <v>566</v>
      </c>
      <c r="D109" s="7" t="s">
        <v>703</v>
      </c>
      <c r="E109" s="7" t="s">
        <v>704</v>
      </c>
      <c r="F109" s="7" t="s">
        <v>91</v>
      </c>
      <c r="G109" s="7" t="s">
        <v>302</v>
      </c>
      <c r="H109" s="10" t="s">
        <v>705</v>
      </c>
      <c r="I109" s="10" t="s">
        <v>706</v>
      </c>
      <c r="J109" s="10" t="s">
        <v>707</v>
      </c>
      <c r="K109" s="7" t="s">
        <v>39</v>
      </c>
      <c r="L109" s="7" t="s">
        <v>40</v>
      </c>
      <c r="M109" s="7" t="n">
        <v>200</v>
      </c>
      <c r="N109" s="7" t="s">
        <v>692</v>
      </c>
      <c r="O109" s="7" t="s">
        <v>42</v>
      </c>
      <c r="P109" s="7" t="s">
        <v>43</v>
      </c>
      <c r="Q109" s="7"/>
    </row>
    <row r="110" customFormat="false" ht="57" hidden="false" customHeight="true" outlineLevel="0" collapsed="false">
      <c r="A110" s="7" t="s">
        <v>708</v>
      </c>
      <c r="B110" s="7" t="s">
        <v>709</v>
      </c>
      <c r="C110" s="7" t="s">
        <v>710</v>
      </c>
      <c r="D110" s="7" t="s">
        <v>711</v>
      </c>
      <c r="E110" s="7" t="s">
        <v>712</v>
      </c>
      <c r="F110" s="7" t="s">
        <v>91</v>
      </c>
      <c r="G110" s="7" t="s">
        <v>302</v>
      </c>
      <c r="H110" s="10" t="s">
        <v>713</v>
      </c>
      <c r="I110" s="10" t="s">
        <v>714</v>
      </c>
      <c r="J110" s="10" t="s">
        <v>715</v>
      </c>
      <c r="K110" s="7" t="s">
        <v>39</v>
      </c>
      <c r="L110" s="7" t="s">
        <v>40</v>
      </c>
      <c r="M110" s="7" t="n">
        <v>200</v>
      </c>
      <c r="N110" s="7" t="s">
        <v>716</v>
      </c>
      <c r="O110" s="7" t="s">
        <v>42</v>
      </c>
      <c r="P110" s="7" t="s">
        <v>43</v>
      </c>
      <c r="Q110" s="7"/>
    </row>
    <row r="111" customFormat="false" ht="57" hidden="false" customHeight="true" outlineLevel="0" collapsed="false">
      <c r="A111" s="7" t="s">
        <v>717</v>
      </c>
      <c r="B111" s="7" t="s">
        <v>709</v>
      </c>
      <c r="C111" s="7" t="s">
        <v>710</v>
      </c>
      <c r="D111" s="7" t="s">
        <v>711</v>
      </c>
      <c r="E111" s="7" t="s">
        <v>718</v>
      </c>
      <c r="F111" s="7" t="s">
        <v>91</v>
      </c>
      <c r="G111" s="7" t="s">
        <v>302</v>
      </c>
      <c r="H111" s="10" t="s">
        <v>719</v>
      </c>
      <c r="I111" s="10" t="s">
        <v>720</v>
      </c>
      <c r="J111" s="10" t="s">
        <v>721</v>
      </c>
      <c r="K111" s="7" t="s">
        <v>39</v>
      </c>
      <c r="L111" s="7" t="s">
        <v>40</v>
      </c>
      <c r="M111" s="7" t="n">
        <v>200</v>
      </c>
      <c r="N111" s="7" t="s">
        <v>716</v>
      </c>
      <c r="O111" s="7" t="s">
        <v>42</v>
      </c>
      <c r="P111" s="7" t="s">
        <v>43</v>
      </c>
      <c r="Q111" s="7"/>
    </row>
    <row r="112" customFormat="false" ht="57" hidden="false" customHeight="true" outlineLevel="0" collapsed="false">
      <c r="A112" s="7" t="s">
        <v>722</v>
      </c>
      <c r="B112" s="7" t="s">
        <v>723</v>
      </c>
      <c r="C112" s="7" t="s">
        <v>710</v>
      </c>
      <c r="D112" s="7" t="s">
        <v>711</v>
      </c>
      <c r="E112" s="7" t="s">
        <v>724</v>
      </c>
      <c r="F112" s="7" t="s">
        <v>47</v>
      </c>
      <c r="G112" s="7" t="s">
        <v>302</v>
      </c>
      <c r="H112" s="10" t="s">
        <v>725</v>
      </c>
      <c r="I112" s="10" t="s">
        <v>726</v>
      </c>
      <c r="J112" s="10" t="s">
        <v>727</v>
      </c>
      <c r="K112" s="7" t="s">
        <v>39</v>
      </c>
      <c r="L112" s="7" t="s">
        <v>40</v>
      </c>
      <c r="M112" s="7" t="n">
        <v>400</v>
      </c>
      <c r="N112" s="7" t="s">
        <v>585</v>
      </c>
      <c r="O112" s="7" t="s">
        <v>42</v>
      </c>
      <c r="P112" s="7" t="s">
        <v>43</v>
      </c>
      <c r="Q112" s="7"/>
    </row>
    <row r="113" customFormat="false" ht="57" hidden="false" customHeight="true" outlineLevel="0" collapsed="false">
      <c r="A113" s="7" t="s">
        <v>728</v>
      </c>
      <c r="B113" s="7" t="s">
        <v>729</v>
      </c>
      <c r="C113" s="7" t="s">
        <v>710</v>
      </c>
      <c r="D113" s="5" t="s">
        <v>730</v>
      </c>
      <c r="E113" s="7" t="s">
        <v>731</v>
      </c>
      <c r="F113" s="7" t="s">
        <v>91</v>
      </c>
      <c r="G113" s="7" t="s">
        <v>302</v>
      </c>
      <c r="H113" s="10" t="s">
        <v>732</v>
      </c>
      <c r="I113" s="10" t="s">
        <v>733</v>
      </c>
      <c r="J113" s="10" t="s">
        <v>734</v>
      </c>
      <c r="K113" s="7" t="s">
        <v>39</v>
      </c>
      <c r="L113" s="7" t="s">
        <v>40</v>
      </c>
      <c r="M113" s="7" t="n">
        <v>200</v>
      </c>
      <c r="N113" s="7" t="s">
        <v>735</v>
      </c>
      <c r="O113" s="7" t="s">
        <v>42</v>
      </c>
      <c r="P113" s="7" t="s">
        <v>43</v>
      </c>
      <c r="Q113" s="7"/>
    </row>
    <row r="114" customFormat="false" ht="57" hidden="false" customHeight="true" outlineLevel="0" collapsed="false">
      <c r="A114" s="7" t="s">
        <v>736</v>
      </c>
      <c r="B114" s="7" t="s">
        <v>737</v>
      </c>
      <c r="C114" s="7" t="s">
        <v>710</v>
      </c>
      <c r="D114" s="13" t="s">
        <v>738</v>
      </c>
      <c r="E114" s="7" t="s">
        <v>739</v>
      </c>
      <c r="F114" s="7" t="s">
        <v>91</v>
      </c>
      <c r="G114" s="7" t="s">
        <v>302</v>
      </c>
      <c r="H114" s="10" t="s">
        <v>740</v>
      </c>
      <c r="I114" s="10" t="s">
        <v>741</v>
      </c>
      <c r="J114" s="10" t="s">
        <v>742</v>
      </c>
      <c r="K114" s="7" t="s">
        <v>39</v>
      </c>
      <c r="L114" s="7" t="s">
        <v>40</v>
      </c>
      <c r="M114" s="7" t="n">
        <v>200</v>
      </c>
      <c r="N114" s="7" t="s">
        <v>743</v>
      </c>
      <c r="O114" s="7" t="s">
        <v>42</v>
      </c>
      <c r="P114" s="7" t="s">
        <v>43</v>
      </c>
      <c r="Q114" s="7"/>
    </row>
    <row r="115" customFormat="false" ht="57" hidden="false" customHeight="true" outlineLevel="0" collapsed="false">
      <c r="A115" s="7" t="s">
        <v>744</v>
      </c>
      <c r="B115" s="7" t="s">
        <v>745</v>
      </c>
      <c r="C115" s="7" t="s">
        <v>710</v>
      </c>
      <c r="D115" s="13" t="s">
        <v>738</v>
      </c>
      <c r="E115" s="7" t="s">
        <v>746</v>
      </c>
      <c r="F115" s="7" t="s">
        <v>47</v>
      </c>
      <c r="G115" s="7" t="s">
        <v>302</v>
      </c>
      <c r="H115" s="10" t="s">
        <v>747</v>
      </c>
      <c r="I115" s="10" t="s">
        <v>748</v>
      </c>
      <c r="J115" s="10" t="s">
        <v>749</v>
      </c>
      <c r="K115" s="7" t="s">
        <v>39</v>
      </c>
      <c r="L115" s="7" t="s">
        <v>40</v>
      </c>
      <c r="M115" s="7" t="n">
        <v>400</v>
      </c>
      <c r="N115" s="7" t="s">
        <v>487</v>
      </c>
      <c r="O115" s="7" t="s">
        <v>42</v>
      </c>
      <c r="P115" s="7" t="s">
        <v>43</v>
      </c>
      <c r="Q115" s="7"/>
    </row>
    <row r="116" customFormat="false" ht="57" hidden="false" customHeight="true" outlineLevel="0" collapsed="false">
      <c r="A116" s="7" t="s">
        <v>750</v>
      </c>
      <c r="B116" s="7" t="s">
        <v>751</v>
      </c>
      <c r="C116" s="7" t="s">
        <v>710</v>
      </c>
      <c r="D116" s="7" t="s">
        <v>752</v>
      </c>
      <c r="E116" s="7" t="s">
        <v>753</v>
      </c>
      <c r="F116" s="7" t="s">
        <v>91</v>
      </c>
      <c r="G116" s="7" t="s">
        <v>302</v>
      </c>
      <c r="H116" s="10" t="s">
        <v>754</v>
      </c>
      <c r="I116" s="10" t="s">
        <v>755</v>
      </c>
      <c r="J116" s="10" t="s">
        <v>756</v>
      </c>
      <c r="K116" s="7" t="s">
        <v>39</v>
      </c>
      <c r="L116" s="7" t="s">
        <v>40</v>
      </c>
      <c r="M116" s="7" t="n">
        <v>200</v>
      </c>
      <c r="N116" s="7" t="s">
        <v>757</v>
      </c>
      <c r="O116" s="7" t="s">
        <v>42</v>
      </c>
      <c r="P116" s="7" t="s">
        <v>43</v>
      </c>
      <c r="Q116" s="7"/>
    </row>
    <row r="117" customFormat="false" ht="57" hidden="false" customHeight="true" outlineLevel="0" collapsed="false">
      <c r="A117" s="7" t="s">
        <v>758</v>
      </c>
      <c r="B117" s="7" t="s">
        <v>759</v>
      </c>
      <c r="C117" s="7" t="s">
        <v>710</v>
      </c>
      <c r="D117" s="7" t="s">
        <v>760</v>
      </c>
      <c r="E117" s="7" t="s">
        <v>761</v>
      </c>
      <c r="F117" s="7" t="s">
        <v>91</v>
      </c>
      <c r="G117" s="7" t="s">
        <v>302</v>
      </c>
      <c r="H117" s="10" t="s">
        <v>762</v>
      </c>
      <c r="I117" s="10" t="s">
        <v>763</v>
      </c>
      <c r="J117" s="10" t="s">
        <v>764</v>
      </c>
      <c r="K117" s="7" t="s">
        <v>39</v>
      </c>
      <c r="L117" s="7" t="s">
        <v>40</v>
      </c>
      <c r="M117" s="7" t="n">
        <v>200</v>
      </c>
      <c r="N117" s="7" t="s">
        <v>765</v>
      </c>
      <c r="O117" s="7" t="s">
        <v>42</v>
      </c>
      <c r="P117" s="7" t="s">
        <v>43</v>
      </c>
      <c r="Q117" s="7"/>
    </row>
    <row r="118" customFormat="false" ht="57" hidden="false" customHeight="true" outlineLevel="0" collapsed="false">
      <c r="A118" s="7" t="s">
        <v>766</v>
      </c>
      <c r="B118" s="7" t="s">
        <v>767</v>
      </c>
      <c r="C118" s="7" t="s">
        <v>710</v>
      </c>
      <c r="D118" s="7" t="s">
        <v>768</v>
      </c>
      <c r="E118" s="7" t="s">
        <v>769</v>
      </c>
      <c r="F118" s="7" t="s">
        <v>91</v>
      </c>
      <c r="G118" s="7" t="s">
        <v>302</v>
      </c>
      <c r="H118" s="10" t="s">
        <v>770</v>
      </c>
      <c r="I118" s="10" t="s">
        <v>771</v>
      </c>
      <c r="J118" s="10" t="s">
        <v>772</v>
      </c>
      <c r="K118" s="7" t="s">
        <v>39</v>
      </c>
      <c r="L118" s="7" t="s">
        <v>40</v>
      </c>
      <c r="M118" s="7" t="n">
        <v>200</v>
      </c>
      <c r="N118" s="7" t="s">
        <v>773</v>
      </c>
      <c r="O118" s="7" t="s">
        <v>42</v>
      </c>
      <c r="P118" s="7" t="s">
        <v>43</v>
      </c>
      <c r="Q118" s="7"/>
    </row>
    <row r="119" customFormat="false" ht="57" hidden="false" customHeight="true" outlineLevel="0" collapsed="false">
      <c r="A119" s="7" t="s">
        <v>774</v>
      </c>
      <c r="B119" s="7" t="s">
        <v>775</v>
      </c>
      <c r="C119" s="7" t="s">
        <v>710</v>
      </c>
      <c r="D119" s="7" t="s">
        <v>776</v>
      </c>
      <c r="E119" s="7" t="s">
        <v>777</v>
      </c>
      <c r="F119" s="7" t="s">
        <v>91</v>
      </c>
      <c r="G119" s="7" t="s">
        <v>302</v>
      </c>
      <c r="H119" s="10" t="s">
        <v>778</v>
      </c>
      <c r="I119" s="10" t="s">
        <v>779</v>
      </c>
      <c r="J119" s="10" t="s">
        <v>780</v>
      </c>
      <c r="K119" s="7" t="s">
        <v>39</v>
      </c>
      <c r="L119" s="7" t="s">
        <v>40</v>
      </c>
      <c r="M119" s="7" t="n">
        <v>200</v>
      </c>
      <c r="N119" s="7" t="s">
        <v>781</v>
      </c>
      <c r="O119" s="7" t="s">
        <v>42</v>
      </c>
      <c r="P119" s="7" t="s">
        <v>43</v>
      </c>
      <c r="Q119" s="7"/>
    </row>
    <row r="120" customFormat="false" ht="72" hidden="false" customHeight="true" outlineLevel="0" collapsed="false">
      <c r="A120" s="7" t="s">
        <v>782</v>
      </c>
      <c r="B120" s="7" t="s">
        <v>783</v>
      </c>
      <c r="C120" s="7" t="s">
        <v>784</v>
      </c>
      <c r="D120" s="7" t="s">
        <v>785</v>
      </c>
      <c r="E120" s="7" t="s">
        <v>786</v>
      </c>
      <c r="F120" s="7" t="s">
        <v>91</v>
      </c>
      <c r="G120" s="7" t="s">
        <v>302</v>
      </c>
      <c r="H120" s="10" t="s">
        <v>787</v>
      </c>
      <c r="I120" s="10" t="s">
        <v>788</v>
      </c>
      <c r="J120" s="10" t="s">
        <v>789</v>
      </c>
      <c r="K120" s="7" t="s">
        <v>39</v>
      </c>
      <c r="L120" s="7" t="s">
        <v>40</v>
      </c>
      <c r="M120" s="7" t="n">
        <v>200</v>
      </c>
      <c r="N120" s="7" t="s">
        <v>790</v>
      </c>
      <c r="O120" s="7" t="s">
        <v>42</v>
      </c>
      <c r="P120" s="7" t="s">
        <v>43</v>
      </c>
      <c r="Q120" s="7"/>
    </row>
    <row r="121" customFormat="false" ht="57" hidden="false" customHeight="true" outlineLevel="0" collapsed="false">
      <c r="A121" s="7" t="s">
        <v>791</v>
      </c>
      <c r="B121" s="7" t="s">
        <v>792</v>
      </c>
      <c r="C121" s="7" t="s">
        <v>784</v>
      </c>
      <c r="D121" s="7" t="s">
        <v>793</v>
      </c>
      <c r="E121" s="7" t="s">
        <v>794</v>
      </c>
      <c r="F121" s="7" t="s">
        <v>91</v>
      </c>
      <c r="G121" s="7" t="s">
        <v>302</v>
      </c>
      <c r="H121" s="10" t="s">
        <v>795</v>
      </c>
      <c r="I121" s="10" t="s">
        <v>796</v>
      </c>
      <c r="J121" s="10" t="s">
        <v>797</v>
      </c>
      <c r="K121" s="7" t="s">
        <v>39</v>
      </c>
      <c r="L121" s="7" t="s">
        <v>40</v>
      </c>
      <c r="M121" s="7" t="n">
        <v>200</v>
      </c>
      <c r="N121" s="7" t="s">
        <v>798</v>
      </c>
      <c r="O121" s="7" t="s">
        <v>42</v>
      </c>
      <c r="P121" s="7" t="s">
        <v>43</v>
      </c>
      <c r="Q121" s="7"/>
    </row>
    <row r="122" customFormat="false" ht="57" hidden="false" customHeight="true" outlineLevel="0" collapsed="false">
      <c r="A122" s="7" t="s">
        <v>799</v>
      </c>
      <c r="B122" s="7" t="s">
        <v>800</v>
      </c>
      <c r="C122" s="7" t="s">
        <v>784</v>
      </c>
      <c r="D122" s="7" t="s">
        <v>801</v>
      </c>
      <c r="E122" s="7" t="s">
        <v>802</v>
      </c>
      <c r="F122" s="7" t="s">
        <v>91</v>
      </c>
      <c r="G122" s="7" t="s">
        <v>302</v>
      </c>
      <c r="H122" s="10" t="s">
        <v>803</v>
      </c>
      <c r="I122" s="10" t="s">
        <v>804</v>
      </c>
      <c r="J122" s="10" t="s">
        <v>805</v>
      </c>
      <c r="K122" s="7" t="s">
        <v>39</v>
      </c>
      <c r="L122" s="7" t="s">
        <v>40</v>
      </c>
      <c r="M122" s="7" t="n">
        <v>200</v>
      </c>
      <c r="N122" s="7" t="s">
        <v>806</v>
      </c>
      <c r="O122" s="7" t="s">
        <v>42</v>
      </c>
      <c r="P122" s="7" t="s">
        <v>43</v>
      </c>
      <c r="Q122" s="7"/>
    </row>
    <row r="123" customFormat="false" ht="57" hidden="false" customHeight="true" outlineLevel="0" collapsed="false">
      <c r="A123" s="7" t="s">
        <v>807</v>
      </c>
      <c r="B123" s="7" t="s">
        <v>808</v>
      </c>
      <c r="C123" s="7" t="s">
        <v>784</v>
      </c>
      <c r="D123" s="7" t="s">
        <v>809</v>
      </c>
      <c r="E123" s="7" t="s">
        <v>810</v>
      </c>
      <c r="F123" s="7" t="s">
        <v>91</v>
      </c>
      <c r="G123" s="7" t="s">
        <v>302</v>
      </c>
      <c r="H123" s="10" t="s">
        <v>811</v>
      </c>
      <c r="I123" s="10" t="s">
        <v>812</v>
      </c>
      <c r="J123" s="10" t="s">
        <v>813</v>
      </c>
      <c r="K123" s="7" t="s">
        <v>39</v>
      </c>
      <c r="L123" s="7" t="s">
        <v>40</v>
      </c>
      <c r="M123" s="7" t="n">
        <v>200</v>
      </c>
      <c r="N123" s="7" t="s">
        <v>814</v>
      </c>
      <c r="O123" s="7" t="s">
        <v>42</v>
      </c>
      <c r="P123" s="7" t="s">
        <v>43</v>
      </c>
      <c r="Q123" s="7"/>
    </row>
    <row r="124" customFormat="false" ht="57" hidden="false" customHeight="true" outlineLevel="0" collapsed="false">
      <c r="A124" s="7" t="s">
        <v>815</v>
      </c>
      <c r="B124" s="7" t="s">
        <v>816</v>
      </c>
      <c r="C124" s="7" t="s">
        <v>817</v>
      </c>
      <c r="D124" s="7" t="s">
        <v>818</v>
      </c>
      <c r="E124" s="7" t="s">
        <v>819</v>
      </c>
      <c r="F124" s="7" t="s">
        <v>91</v>
      </c>
      <c r="G124" s="7" t="s">
        <v>302</v>
      </c>
      <c r="H124" s="10" t="s">
        <v>820</v>
      </c>
      <c r="I124" s="10" t="s">
        <v>821</v>
      </c>
      <c r="J124" s="10" t="s">
        <v>822</v>
      </c>
      <c r="K124" s="7" t="s">
        <v>39</v>
      </c>
      <c r="L124" s="7" t="s">
        <v>40</v>
      </c>
      <c r="M124" s="7" t="n">
        <v>200</v>
      </c>
      <c r="N124" s="7" t="s">
        <v>823</v>
      </c>
      <c r="O124" s="7" t="s">
        <v>42</v>
      </c>
      <c r="P124" s="7" t="s">
        <v>43</v>
      </c>
      <c r="Q124" s="7"/>
    </row>
    <row r="125" customFormat="false" ht="57" hidden="false" customHeight="true" outlineLevel="0" collapsed="false">
      <c r="A125" s="7" t="s">
        <v>824</v>
      </c>
      <c r="B125" s="7" t="s">
        <v>825</v>
      </c>
      <c r="C125" s="7" t="s">
        <v>817</v>
      </c>
      <c r="D125" s="7" t="s">
        <v>826</v>
      </c>
      <c r="E125" s="7" t="s">
        <v>827</v>
      </c>
      <c r="F125" s="7" t="s">
        <v>91</v>
      </c>
      <c r="G125" s="7" t="s">
        <v>302</v>
      </c>
      <c r="H125" s="10" t="s">
        <v>828</v>
      </c>
      <c r="I125" s="10" t="s">
        <v>829</v>
      </c>
      <c r="J125" s="10" t="s">
        <v>830</v>
      </c>
      <c r="K125" s="7" t="s">
        <v>39</v>
      </c>
      <c r="L125" s="7" t="s">
        <v>40</v>
      </c>
      <c r="M125" s="7" t="n">
        <v>200</v>
      </c>
      <c r="N125" s="7" t="s">
        <v>831</v>
      </c>
      <c r="O125" s="7" t="s">
        <v>42</v>
      </c>
      <c r="P125" s="7" t="s">
        <v>43</v>
      </c>
      <c r="Q125" s="7"/>
    </row>
    <row r="126" customFormat="false" ht="57" hidden="false" customHeight="true" outlineLevel="0" collapsed="false">
      <c r="A126" s="7" t="s">
        <v>832</v>
      </c>
      <c r="B126" s="7" t="s">
        <v>833</v>
      </c>
      <c r="C126" s="7" t="s">
        <v>817</v>
      </c>
      <c r="D126" s="7" t="s">
        <v>834</v>
      </c>
      <c r="E126" s="7" t="s">
        <v>835</v>
      </c>
      <c r="F126" s="7" t="s">
        <v>91</v>
      </c>
      <c r="G126" s="7" t="s">
        <v>836</v>
      </c>
      <c r="H126" s="10" t="s">
        <v>837</v>
      </c>
      <c r="I126" s="10" t="s">
        <v>838</v>
      </c>
      <c r="J126" s="10" t="s">
        <v>839</v>
      </c>
      <c r="K126" s="7" t="s">
        <v>39</v>
      </c>
      <c r="L126" s="7" t="s">
        <v>40</v>
      </c>
      <c r="M126" s="7" t="n">
        <v>200</v>
      </c>
      <c r="N126" s="7" t="s">
        <v>840</v>
      </c>
      <c r="O126" s="7" t="s">
        <v>42</v>
      </c>
      <c r="P126" s="7" t="s">
        <v>43</v>
      </c>
      <c r="Q126" s="7"/>
    </row>
    <row r="127" customFormat="false" ht="57" hidden="false" customHeight="true" outlineLevel="0" collapsed="false">
      <c r="A127" s="7" t="s">
        <v>841</v>
      </c>
      <c r="B127" s="7" t="s">
        <v>842</v>
      </c>
      <c r="C127" s="7" t="s">
        <v>817</v>
      </c>
      <c r="D127" s="7" t="s">
        <v>843</v>
      </c>
      <c r="E127" s="7" t="s">
        <v>844</v>
      </c>
      <c r="F127" s="7" t="s">
        <v>91</v>
      </c>
      <c r="G127" s="7" t="s">
        <v>836</v>
      </c>
      <c r="H127" s="10" t="s">
        <v>845</v>
      </c>
      <c r="I127" s="10" t="s">
        <v>846</v>
      </c>
      <c r="J127" s="10" t="s">
        <v>847</v>
      </c>
      <c r="K127" s="7" t="s">
        <v>39</v>
      </c>
      <c r="L127" s="7" t="s">
        <v>40</v>
      </c>
      <c r="M127" s="7" t="n">
        <v>200</v>
      </c>
      <c r="N127" s="7" t="s">
        <v>848</v>
      </c>
      <c r="O127" s="7" t="s">
        <v>42</v>
      </c>
      <c r="P127" s="7" t="s">
        <v>43</v>
      </c>
      <c r="Q127" s="7"/>
    </row>
    <row r="128" customFormat="false" ht="57" hidden="false" customHeight="true" outlineLevel="0" collapsed="false">
      <c r="A128" s="7" t="s">
        <v>849</v>
      </c>
      <c r="B128" s="7" t="s">
        <v>850</v>
      </c>
      <c r="C128" s="7" t="s">
        <v>817</v>
      </c>
      <c r="D128" s="7" t="s">
        <v>851</v>
      </c>
      <c r="E128" s="7" t="s">
        <v>852</v>
      </c>
      <c r="F128" s="7" t="s">
        <v>91</v>
      </c>
      <c r="G128" s="7" t="s">
        <v>836</v>
      </c>
      <c r="H128" s="10" t="s">
        <v>853</v>
      </c>
      <c r="I128" s="10" t="s">
        <v>854</v>
      </c>
      <c r="J128" s="10" t="s">
        <v>855</v>
      </c>
      <c r="K128" s="7" t="s">
        <v>39</v>
      </c>
      <c r="L128" s="7" t="s">
        <v>40</v>
      </c>
      <c r="M128" s="7" t="n">
        <v>200</v>
      </c>
      <c r="N128" s="7" t="s">
        <v>856</v>
      </c>
      <c r="O128" s="7" t="s">
        <v>42</v>
      </c>
      <c r="P128" s="7" t="s">
        <v>43</v>
      </c>
      <c r="Q128" s="7"/>
    </row>
    <row r="129" customFormat="false" ht="14.25" hidden="false" customHeight="false" outlineLevel="0" collapsed="false">
      <c r="A129" s="7"/>
      <c r="B129" s="7"/>
      <c r="C129" s="7"/>
      <c r="D129" s="13"/>
      <c r="E129" s="7"/>
      <c r="F129" s="7"/>
      <c r="G129" s="7"/>
      <c r="H129" s="10"/>
      <c r="I129" s="10"/>
      <c r="J129" s="10"/>
      <c r="K129" s="7"/>
      <c r="L129" s="7"/>
      <c r="M129" s="7"/>
      <c r="O129" s="7"/>
      <c r="P129" s="7"/>
      <c r="Q129" s="7"/>
    </row>
    <row r="130" customFormat="false" ht="14.25" hidden="false" customHeight="false" outlineLevel="0" collapsed="false">
      <c r="A130" s="7"/>
      <c r="B130" s="7"/>
      <c r="C130" s="7"/>
      <c r="D130" s="7"/>
      <c r="E130" s="7"/>
      <c r="F130" s="7"/>
      <c r="G130" s="7"/>
      <c r="H130" s="10"/>
      <c r="I130" s="10"/>
      <c r="J130" s="10"/>
      <c r="K130" s="7"/>
      <c r="L130" s="7"/>
      <c r="M130" s="7"/>
      <c r="O130" s="7"/>
      <c r="P130" s="7"/>
      <c r="Q130" s="7"/>
    </row>
    <row r="131" customFormat="false" ht="14.25" hidden="false" customHeight="false" outlineLevel="0" collapsed="false">
      <c r="A131" s="7"/>
      <c r="B131" s="7"/>
      <c r="C131" s="7"/>
      <c r="D131" s="7"/>
      <c r="E131" s="7"/>
      <c r="F131" s="7"/>
      <c r="G131" s="7"/>
      <c r="H131" s="10"/>
      <c r="I131" s="10"/>
      <c r="J131" s="10"/>
      <c r="K131" s="7"/>
      <c r="L131" s="7"/>
      <c r="M131" s="7"/>
      <c r="O131" s="7"/>
      <c r="P131" s="7"/>
      <c r="Q131" s="7"/>
    </row>
    <row r="132" customFormat="false" ht="14.25" hidden="false" customHeight="false" outlineLevel="0" collapsed="false">
      <c r="A132" s="7"/>
      <c r="B132" s="7"/>
      <c r="C132" s="7"/>
      <c r="D132" s="7"/>
      <c r="E132" s="7"/>
      <c r="F132" s="7"/>
      <c r="G132" s="7"/>
      <c r="H132" s="10"/>
      <c r="I132" s="10"/>
      <c r="J132" s="10"/>
      <c r="K132" s="7"/>
      <c r="L132" s="7"/>
      <c r="M132" s="7"/>
      <c r="O132" s="7"/>
      <c r="P132" s="7"/>
      <c r="Q132" s="7"/>
    </row>
    <row r="133" customFormat="false" ht="14.25" hidden="false" customHeight="false" outlineLevel="0" collapsed="false">
      <c r="A133" s="7"/>
      <c r="B133" s="7"/>
      <c r="C133" s="7"/>
      <c r="D133" s="7"/>
      <c r="E133" s="7"/>
      <c r="F133" s="7"/>
      <c r="G133" s="7"/>
      <c r="H133" s="10"/>
      <c r="I133" s="10"/>
      <c r="J133" s="10"/>
      <c r="K133" s="7"/>
      <c r="L133" s="7"/>
      <c r="M133" s="7"/>
      <c r="O133" s="7"/>
      <c r="P133" s="7"/>
      <c r="Q133" s="7"/>
    </row>
    <row r="134" customFormat="false" ht="14.25" hidden="false" customHeight="false" outlineLevel="0" collapsed="false">
      <c r="A134" s="7"/>
      <c r="B134" s="7"/>
      <c r="C134" s="7"/>
      <c r="D134" s="7"/>
      <c r="E134" s="7"/>
      <c r="F134" s="7"/>
      <c r="G134" s="7"/>
      <c r="H134" s="10"/>
      <c r="I134" s="10"/>
      <c r="J134" s="10"/>
      <c r="K134" s="7"/>
      <c r="L134" s="7"/>
      <c r="M134" s="7"/>
      <c r="O134" s="7"/>
      <c r="P134" s="7"/>
      <c r="Q134" s="7"/>
    </row>
    <row r="135" customFormat="false" ht="14.25" hidden="false" customHeight="false" outlineLevel="0" collapsed="false">
      <c r="A135" s="7"/>
      <c r="B135" s="7"/>
      <c r="C135" s="7"/>
      <c r="D135" s="7"/>
      <c r="E135" s="7"/>
      <c r="F135" s="7"/>
      <c r="G135" s="7"/>
      <c r="H135" s="10"/>
      <c r="I135" s="10"/>
      <c r="J135" s="10"/>
      <c r="K135" s="7"/>
      <c r="L135" s="7"/>
      <c r="M135" s="7"/>
      <c r="O135" s="7"/>
      <c r="P135" s="7"/>
      <c r="Q135" s="7"/>
    </row>
    <row r="136" customFormat="false" ht="14.25" hidden="false" customHeight="false" outlineLevel="0" collapsed="false">
      <c r="A136" s="7"/>
      <c r="B136" s="7"/>
      <c r="C136" s="7"/>
      <c r="D136" s="7"/>
      <c r="E136" s="7"/>
      <c r="F136" s="7"/>
      <c r="G136" s="7"/>
      <c r="H136" s="10"/>
      <c r="I136" s="10"/>
      <c r="J136" s="10"/>
      <c r="K136" s="7"/>
      <c r="L136" s="7"/>
      <c r="M136" s="7"/>
      <c r="O136" s="7"/>
      <c r="P136" s="7"/>
      <c r="Q136" s="7"/>
    </row>
    <row r="137" customFormat="false" ht="14.25" hidden="false" customHeight="false" outlineLevel="0" collapsed="false">
      <c r="A137" s="7"/>
      <c r="B137" s="7"/>
      <c r="C137" s="7"/>
      <c r="D137" s="7"/>
      <c r="E137" s="7"/>
      <c r="F137" s="7"/>
      <c r="G137" s="7"/>
      <c r="H137" s="10"/>
      <c r="I137" s="10"/>
      <c r="J137" s="10"/>
      <c r="K137" s="7"/>
      <c r="L137" s="7"/>
      <c r="M137" s="7"/>
      <c r="O137" s="7"/>
      <c r="P137" s="7"/>
      <c r="Q137" s="7"/>
    </row>
    <row r="138" customFormat="false" ht="14.25" hidden="false" customHeight="false" outlineLevel="0" collapsed="false">
      <c r="A138" s="7"/>
      <c r="B138" s="7"/>
      <c r="C138" s="7"/>
      <c r="D138" s="7"/>
      <c r="E138" s="7"/>
      <c r="F138" s="7"/>
      <c r="G138" s="7"/>
      <c r="H138" s="10"/>
      <c r="I138" s="10"/>
      <c r="J138" s="10"/>
      <c r="K138" s="7"/>
      <c r="L138" s="7"/>
      <c r="M138" s="7"/>
      <c r="O138" s="7"/>
      <c r="P138" s="7"/>
      <c r="Q138" s="7"/>
    </row>
    <row r="139" customFormat="false" ht="14.25" hidden="false" customHeight="false" outlineLevel="0" collapsed="false">
      <c r="A139" s="7"/>
      <c r="B139" s="7"/>
      <c r="C139" s="7"/>
      <c r="D139" s="7"/>
      <c r="E139" s="7"/>
      <c r="F139" s="7"/>
      <c r="G139" s="7"/>
      <c r="H139" s="10"/>
      <c r="I139" s="10"/>
      <c r="J139" s="10"/>
      <c r="K139" s="7"/>
      <c r="L139" s="7"/>
      <c r="M139" s="7"/>
      <c r="O139" s="7"/>
      <c r="P139" s="7"/>
      <c r="Q139" s="7"/>
    </row>
    <row r="140" customFormat="false" ht="14.25" hidden="false" customHeight="false" outlineLevel="0" collapsed="false">
      <c r="A140" s="7"/>
      <c r="B140" s="7"/>
      <c r="C140" s="7"/>
      <c r="D140" s="7"/>
      <c r="E140" s="7"/>
      <c r="F140" s="7"/>
      <c r="G140" s="7"/>
      <c r="H140" s="10"/>
      <c r="I140" s="10"/>
      <c r="J140" s="10"/>
      <c r="K140" s="7"/>
      <c r="L140" s="7"/>
      <c r="M140" s="7"/>
      <c r="O140" s="7"/>
      <c r="P140" s="7"/>
      <c r="Q140" s="7"/>
    </row>
    <row r="141" customFormat="false" ht="14.25" hidden="false" customHeight="false" outlineLevel="0" collapsed="false">
      <c r="A141" s="7"/>
      <c r="B141" s="7"/>
      <c r="C141" s="7"/>
      <c r="D141" s="7"/>
      <c r="E141" s="7"/>
      <c r="F141" s="7"/>
      <c r="G141" s="7"/>
      <c r="H141" s="10"/>
      <c r="I141" s="10"/>
      <c r="J141" s="10"/>
      <c r="K141" s="7"/>
      <c r="L141" s="7"/>
      <c r="M141" s="7"/>
      <c r="O141" s="7"/>
      <c r="P141" s="7"/>
      <c r="Q141" s="7"/>
    </row>
    <row r="142" customFormat="false" ht="14.25" hidden="false" customHeight="false" outlineLevel="0" collapsed="false">
      <c r="A142" s="7"/>
      <c r="B142" s="7"/>
      <c r="C142" s="7"/>
      <c r="D142" s="7"/>
      <c r="E142" s="7"/>
      <c r="F142" s="7"/>
      <c r="G142" s="7"/>
      <c r="H142" s="10"/>
      <c r="I142" s="10"/>
      <c r="J142" s="10"/>
      <c r="K142" s="7"/>
      <c r="L142" s="7"/>
      <c r="M142" s="7"/>
      <c r="O142" s="7"/>
      <c r="P142" s="7"/>
      <c r="Q142" s="7"/>
    </row>
    <row r="143" customFormat="false" ht="14.25" hidden="false" customHeight="false" outlineLevel="0" collapsed="false">
      <c r="A143" s="7"/>
      <c r="B143" s="7"/>
      <c r="C143" s="7"/>
      <c r="D143" s="7"/>
      <c r="E143" s="7"/>
      <c r="F143" s="7"/>
      <c r="G143" s="7"/>
      <c r="H143" s="10"/>
      <c r="I143" s="10"/>
      <c r="J143" s="10"/>
      <c r="K143" s="7"/>
      <c r="L143" s="7"/>
      <c r="M143" s="7"/>
      <c r="O143" s="7"/>
      <c r="P143" s="7"/>
      <c r="Q143" s="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32" activeCellId="0" sqref="H32"/>
    </sheetView>
  </sheetViews>
  <sheetFormatPr defaultColWidth="8.6796875" defaultRowHeight="14.25" zeroHeight="false" outlineLevelRow="0" outlineLevelCol="0"/>
  <cols>
    <col collapsed="false" customWidth="true" hidden="false" outlineLevel="0" max="1" min="1" style="0" width="20"/>
    <col collapsed="false" customWidth="true" hidden="false" outlineLevel="0" max="2" min="2" style="0" width="12"/>
  </cols>
  <sheetData>
    <row r="1" customFormat="false" ht="19.7" hidden="false" customHeight="false" outlineLevel="0" collapsed="false">
      <c r="A1" s="1" t="s">
        <v>857</v>
      </c>
    </row>
    <row r="3" customFormat="false" ht="14.25" hidden="false" customHeight="false" outlineLevel="0" collapsed="false">
      <c r="A3" s="14" t="s">
        <v>858</v>
      </c>
      <c r="B3" s="14" t="s">
        <v>859</v>
      </c>
    </row>
    <row r="4" customFormat="false" ht="14.25" hidden="false" customHeight="false" outlineLevel="0" collapsed="false">
      <c r="A4" s="3" t="s">
        <v>860</v>
      </c>
      <c r="B4" s="3" t="n">
        <f aca="false">COUNTA('Test Cases'!A2:A1000)</f>
        <v>127</v>
      </c>
    </row>
    <row r="5" customFormat="false" ht="14.25" hidden="false" customHeight="false" outlineLevel="0" collapsed="false">
      <c r="A5" s="3" t="s">
        <v>43</v>
      </c>
      <c r="B5" s="3" t="n">
        <f aca="false">COUNTIF('Test Cases'!P2:P1000,"Passed")</f>
        <v>125</v>
      </c>
    </row>
    <row r="6" customFormat="false" ht="14.25" hidden="false" customHeight="false" outlineLevel="0" collapsed="false">
      <c r="A6" s="3" t="s">
        <v>620</v>
      </c>
      <c r="B6" s="3" t="n">
        <f aca="false">COUNTIF('Test Cases'!P2:P1000,"Failed")</f>
        <v>2</v>
      </c>
    </row>
    <row r="7" customFormat="false" ht="14.25" hidden="false" customHeight="false" outlineLevel="0" collapsed="false">
      <c r="A7" s="3" t="s">
        <v>861</v>
      </c>
      <c r="B7" s="15" t="n">
        <f aca="false">IFERROR(B5/B4,0)</f>
        <v>0.984251968503937</v>
      </c>
    </row>
    <row r="9" customFormat="false" ht="14.25" hidden="false" customHeight="false" outlineLevel="0" collapsed="false">
      <c r="A9" s="2" t="s">
        <v>862</v>
      </c>
    </row>
    <row r="10" customFormat="false" ht="14.25" hidden="false" customHeight="false" outlineLevel="0" collapsed="false">
      <c r="A10" s="3" t="s">
        <v>35</v>
      </c>
      <c r="B10" s="3" t="n">
        <f aca="false">COUNTIF('Test Cases'!G2:G1000,"High")</f>
        <v>40</v>
      </c>
    </row>
    <row r="11" customFormat="false" ht="14.25" hidden="false" customHeight="false" outlineLevel="0" collapsed="false">
      <c r="A11" s="3" t="s">
        <v>302</v>
      </c>
      <c r="B11" s="3" t="n">
        <f aca="false">COUNTIF('Test Cases'!G2:G1000,"Medium")</f>
        <v>84</v>
      </c>
    </row>
    <row r="12" customFormat="false" ht="14.25" hidden="false" customHeight="false" outlineLevel="0" collapsed="false">
      <c r="A12" s="3" t="s">
        <v>836</v>
      </c>
      <c r="B12" s="3" t="n">
        <f aca="false">COUNTIF('Test Cases'!G2:G1000,"Low")</f>
        <v>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Kareem Walid</dc:creator>
  <dc:description/>
  <dc:language>en-US</dc:language>
  <cp:lastModifiedBy>ayh mhmd</cp:lastModifiedBy>
  <dcterms:modified xsi:type="dcterms:W3CDTF">2026-09-01T21:09:22Z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